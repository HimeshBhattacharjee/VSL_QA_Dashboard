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5133ced89cd61/Desktop/My Program World/QC Automation/"/>
    </mc:Choice>
  </mc:AlternateContent>
  <xr:revisionPtr revIDLastSave="9" documentId="11_15AB52C8E6FEB44B83568F83FF939C0549F80FC3" xr6:coauthVersionLast="47" xr6:coauthVersionMax="47" xr10:uidLastSave="{ED302E52-B270-4D9A-84DD-6BC86FBFA6CE}"/>
  <bookViews>
    <workbookView xWindow="-110" yWindow="-110" windowWidth="19420" windowHeight="11020" activeTab="3" xr2:uid="{00000000-000D-0000-FFFF-FFFF00000000}"/>
  </bookViews>
  <sheets>
    <sheet name="Data" sheetId="1" r:id="rId1"/>
    <sheet name="Trend." sheetId="2" r:id="rId2"/>
    <sheet name="Line - 1" sheetId="7" r:id="rId3"/>
    <sheet name="Line - 2" sheetId="8" r:id="rId4"/>
    <sheet name="MTA Export" sheetId="6" state="hidden" r:id="rId5"/>
    <sheet name="Graph" sheetId="5" state="hidden" r:id="rId6"/>
  </sheets>
  <definedNames>
    <definedName name="_xlnm._FilterDatabase" localSheetId="0" hidden="1">Data!$B$74:$AG$116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1" i="6" l="1"/>
  <c r="AH80" i="6"/>
  <c r="AH79" i="6"/>
  <c r="AH78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I64" i="6"/>
  <c r="H64" i="6"/>
  <c r="G64" i="6"/>
  <c r="F64" i="6"/>
  <c r="E64" i="6"/>
  <c r="D64" i="6"/>
  <c r="C64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J64" i="6" s="1"/>
  <c r="I63" i="6"/>
  <c r="H63" i="6"/>
  <c r="G63" i="6"/>
  <c r="F63" i="6"/>
  <c r="E63" i="6"/>
  <c r="D63" i="6"/>
  <c r="C63" i="6"/>
  <c r="AH62" i="6"/>
  <c r="AH64" i="6" s="1"/>
  <c r="AH57" i="6"/>
  <c r="AH56" i="6"/>
  <c r="AH55" i="6"/>
  <c r="AH54" i="6"/>
  <c r="AH53" i="6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I37" i="6"/>
  <c r="H37" i="6"/>
  <c r="G37" i="6"/>
  <c r="F37" i="6"/>
  <c r="E37" i="6"/>
  <c r="D37" i="6"/>
  <c r="C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J37" i="6" s="1"/>
  <c r="I36" i="6"/>
  <c r="H36" i="6"/>
  <c r="G36" i="6"/>
  <c r="F36" i="6"/>
  <c r="E36" i="6"/>
  <c r="D36" i="6"/>
  <c r="C36" i="6"/>
  <c r="AH35" i="6"/>
  <c r="AH37" i="6" s="1"/>
  <c r="AH30" i="6"/>
  <c r="AH29" i="6"/>
  <c r="AH28" i="6"/>
  <c r="AH27" i="6"/>
  <c r="AH26" i="6"/>
  <c r="AH25" i="6"/>
  <c r="AH24" i="6"/>
  <c r="AH23" i="6"/>
  <c r="AH22" i="6"/>
  <c r="AH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I20" i="6"/>
  <c r="H20" i="6"/>
  <c r="G20" i="6"/>
  <c r="F20" i="6"/>
  <c r="E20" i="6"/>
  <c r="D20" i="6"/>
  <c r="C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J20" i="6" s="1"/>
  <c r="I19" i="6"/>
  <c r="H19" i="6"/>
  <c r="G19" i="6"/>
  <c r="F19" i="6"/>
  <c r="E19" i="6"/>
  <c r="D19" i="6"/>
  <c r="C19" i="6"/>
  <c r="AH18" i="6"/>
  <c r="AH20" i="6" s="1"/>
  <c r="AH14" i="6"/>
  <c r="J13" i="6"/>
  <c r="AH13" i="6" s="1"/>
  <c r="J12" i="6"/>
  <c r="AH12" i="6" s="1"/>
  <c r="J11" i="6"/>
  <c r="AH11" i="6" s="1"/>
  <c r="AH10" i="6"/>
  <c r="J9" i="6"/>
  <c r="AH9" i="6" s="1"/>
  <c r="AH8" i="6"/>
  <c r="J7" i="6"/>
  <c r="AH7" i="6" s="1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I6" i="6"/>
  <c r="H6" i="6"/>
  <c r="G6" i="6"/>
  <c r="F6" i="6"/>
  <c r="E6" i="6"/>
  <c r="D6" i="6"/>
  <c r="C6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J6" i="6" s="1"/>
  <c r="I5" i="6"/>
  <c r="H5" i="6"/>
  <c r="G5" i="6"/>
  <c r="F5" i="6"/>
  <c r="E5" i="6"/>
  <c r="D5" i="6"/>
  <c r="C5" i="6"/>
  <c r="AH4" i="6"/>
  <c r="AH6" i="6" s="1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F74" i="8"/>
  <c r="AE74" i="8"/>
  <c r="AD74" i="8"/>
  <c r="AC74" i="8"/>
  <c r="AB74" i="8"/>
  <c r="AA74" i="8"/>
  <c r="Z74" i="8"/>
  <c r="Y74" i="8"/>
  <c r="S74" i="8"/>
  <c r="Q74" i="8"/>
  <c r="AG73" i="8"/>
  <c r="AF73" i="8"/>
  <c r="AE73" i="8"/>
  <c r="AD73" i="8"/>
  <c r="AC73" i="8"/>
  <c r="AB73" i="8"/>
  <c r="AA73" i="8"/>
  <c r="Z73" i="8"/>
  <c r="Y73" i="8"/>
  <c r="X73" i="8"/>
  <c r="X74" i="8" s="1"/>
  <c r="W73" i="8"/>
  <c r="W74" i="8" s="1"/>
  <c r="V73" i="8"/>
  <c r="V74" i="8" s="1"/>
  <c r="U73" i="8"/>
  <c r="U74" i="8" s="1"/>
  <c r="T73" i="8"/>
  <c r="T74" i="8" s="1"/>
  <c r="S73" i="8"/>
  <c r="R73" i="8"/>
  <c r="R74" i="8" s="1"/>
  <c r="P73" i="8"/>
  <c r="P74" i="8" s="1"/>
  <c r="O73" i="8"/>
  <c r="O74" i="8" s="1"/>
  <c r="N73" i="8"/>
  <c r="N74" i="8" s="1"/>
  <c r="M73" i="8"/>
  <c r="M74" i="8" s="1"/>
  <c r="L73" i="8"/>
  <c r="L74" i="8" s="1"/>
  <c r="K73" i="8"/>
  <c r="K74" i="8" s="1"/>
  <c r="J73" i="8"/>
  <c r="J74" i="8" s="1"/>
  <c r="I73" i="8"/>
  <c r="I74" i="8" s="1"/>
  <c r="H73" i="8"/>
  <c r="H74" i="8" s="1"/>
  <c r="G73" i="8"/>
  <c r="G74" i="8" s="1"/>
  <c r="F73" i="8"/>
  <c r="F74" i="8" s="1"/>
  <c r="E73" i="8"/>
  <c r="E74" i="8" s="1"/>
  <c r="D73" i="8"/>
  <c r="D74" i="8" s="1"/>
  <c r="C73" i="8"/>
  <c r="C74" i="8" s="1"/>
  <c r="AG72" i="8"/>
  <c r="AG74" i="8" s="1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F40" i="8"/>
  <c r="AE40" i="8"/>
  <c r="AD40" i="8"/>
  <c r="AC40" i="8"/>
  <c r="AB40" i="8"/>
  <c r="AA40" i="8"/>
  <c r="Z40" i="8"/>
  <c r="Y40" i="8"/>
  <c r="S40" i="8"/>
  <c r="AG39" i="8"/>
  <c r="AF39" i="8"/>
  <c r="AE39" i="8"/>
  <c r="AD39" i="8"/>
  <c r="AC39" i="8"/>
  <c r="AB39" i="8"/>
  <c r="AA39" i="8"/>
  <c r="Z39" i="8"/>
  <c r="Y39" i="8"/>
  <c r="X39" i="8"/>
  <c r="X40" i="8" s="1"/>
  <c r="W39" i="8"/>
  <c r="W40" i="8" s="1"/>
  <c r="V39" i="8"/>
  <c r="V40" i="8" s="1"/>
  <c r="U39" i="8"/>
  <c r="U40" i="8" s="1"/>
  <c r="T39" i="8"/>
  <c r="T40" i="8" s="1"/>
  <c r="S39" i="8"/>
  <c r="R39" i="8"/>
  <c r="R40" i="8" s="1"/>
  <c r="Q39" i="8"/>
  <c r="Q40" i="8" s="1"/>
  <c r="P39" i="8"/>
  <c r="P40" i="8" s="1"/>
  <c r="O39" i="8"/>
  <c r="O40" i="8" s="1"/>
  <c r="N39" i="8"/>
  <c r="N40" i="8" s="1"/>
  <c r="M39" i="8"/>
  <c r="M40" i="8" s="1"/>
  <c r="L39" i="8"/>
  <c r="L40" i="8" s="1"/>
  <c r="K39" i="8"/>
  <c r="K40" i="8" s="1"/>
  <c r="J39" i="8"/>
  <c r="J40" i="8" s="1"/>
  <c r="I39" i="8"/>
  <c r="I40" i="8" s="1"/>
  <c r="H39" i="8"/>
  <c r="H40" i="8" s="1"/>
  <c r="G39" i="8"/>
  <c r="G40" i="8" s="1"/>
  <c r="F39" i="8"/>
  <c r="F40" i="8" s="1"/>
  <c r="E39" i="8"/>
  <c r="E40" i="8" s="1"/>
  <c r="D39" i="8"/>
  <c r="D40" i="8" s="1"/>
  <c r="C39" i="8"/>
  <c r="C40" i="8" s="1"/>
  <c r="AG38" i="8"/>
  <c r="AG40" i="8" s="1"/>
  <c r="K33" i="8"/>
  <c r="AG33" i="8" s="1"/>
  <c r="AG32" i="8"/>
  <c r="K31" i="8"/>
  <c r="AG31" i="8" s="1"/>
  <c r="AG30" i="8"/>
  <c r="K29" i="8"/>
  <c r="AG29" i="8" s="1"/>
  <c r="K28" i="8"/>
  <c r="AG28" i="8" s="1"/>
  <c r="K27" i="8"/>
  <c r="AG27" i="8" s="1"/>
  <c r="AG26" i="8"/>
  <c r="K25" i="8"/>
  <c r="AG25" i="8" s="1"/>
  <c r="K24" i="8"/>
  <c r="AG24" i="8" s="1"/>
  <c r="AG23" i="8"/>
  <c r="K22" i="8"/>
  <c r="AG22" i="8" s="1"/>
  <c r="AG21" i="8"/>
  <c r="AF20" i="8"/>
  <c r="AE20" i="8"/>
  <c r="AD20" i="8"/>
  <c r="AC20" i="8"/>
  <c r="AB20" i="8"/>
  <c r="AA20" i="8"/>
  <c r="Z20" i="8"/>
  <c r="Y20" i="8"/>
  <c r="S20" i="8"/>
  <c r="AG19" i="8"/>
  <c r="AF19" i="8"/>
  <c r="AE19" i="8"/>
  <c r="AD19" i="8"/>
  <c r="AC19" i="8"/>
  <c r="AB19" i="8"/>
  <c r="AA19" i="8"/>
  <c r="Z19" i="8"/>
  <c r="Y19" i="8"/>
  <c r="X19" i="8"/>
  <c r="X20" i="8" s="1"/>
  <c r="W19" i="8"/>
  <c r="W20" i="8" s="1"/>
  <c r="V19" i="8"/>
  <c r="V20" i="8" s="1"/>
  <c r="U19" i="8"/>
  <c r="U20" i="8" s="1"/>
  <c r="T19" i="8"/>
  <c r="T20" i="8" s="1"/>
  <c r="S19" i="8"/>
  <c r="R19" i="8"/>
  <c r="R20" i="8" s="1"/>
  <c r="Q19" i="8"/>
  <c r="Q20" i="8" s="1"/>
  <c r="P19" i="8"/>
  <c r="P20" i="8" s="1"/>
  <c r="O19" i="8"/>
  <c r="O20" i="8" s="1"/>
  <c r="N19" i="8"/>
  <c r="N20" i="8" s="1"/>
  <c r="M19" i="8"/>
  <c r="M20" i="8" s="1"/>
  <c r="L19" i="8"/>
  <c r="L20" i="8" s="1"/>
  <c r="K19" i="8"/>
  <c r="K20" i="8" s="1"/>
  <c r="J19" i="8"/>
  <c r="J20" i="8" s="1"/>
  <c r="I19" i="8"/>
  <c r="I20" i="8" s="1"/>
  <c r="H19" i="8"/>
  <c r="H20" i="8" s="1"/>
  <c r="G19" i="8"/>
  <c r="G20" i="8" s="1"/>
  <c r="F19" i="8"/>
  <c r="F20" i="8" s="1"/>
  <c r="E19" i="8"/>
  <c r="E20" i="8" s="1"/>
  <c r="D19" i="8"/>
  <c r="D20" i="8" s="1"/>
  <c r="C19" i="8"/>
  <c r="C20" i="8" s="1"/>
  <c r="AG18" i="8"/>
  <c r="AG20" i="8" s="1"/>
  <c r="AG14" i="8"/>
  <c r="AG13" i="8"/>
  <c r="AG12" i="8"/>
  <c r="AG11" i="8"/>
  <c r="AG10" i="8"/>
  <c r="AG9" i="8"/>
  <c r="AG8" i="8"/>
  <c r="AG7" i="8"/>
  <c r="AF6" i="8"/>
  <c r="AE6" i="8"/>
  <c r="AD6" i="8"/>
  <c r="AC6" i="8"/>
  <c r="AB6" i="8"/>
  <c r="AA6" i="8"/>
  <c r="Z6" i="8"/>
  <c r="Y6" i="8"/>
  <c r="S6" i="8"/>
  <c r="AG5" i="8"/>
  <c r="AF5" i="8"/>
  <c r="AE5" i="8"/>
  <c r="AD5" i="8"/>
  <c r="AC5" i="8"/>
  <c r="AB5" i="8"/>
  <c r="AA5" i="8"/>
  <c r="Z5" i="8"/>
  <c r="Y5" i="8"/>
  <c r="X5" i="8"/>
  <c r="X6" i="8" s="1"/>
  <c r="W5" i="8"/>
  <c r="W6" i="8" s="1"/>
  <c r="V5" i="8"/>
  <c r="V6" i="8" s="1"/>
  <c r="U5" i="8"/>
  <c r="U6" i="8" s="1"/>
  <c r="T5" i="8"/>
  <c r="T6" i="8" s="1"/>
  <c r="S5" i="8"/>
  <c r="R5" i="8"/>
  <c r="R6" i="8" s="1"/>
  <c r="Q5" i="8"/>
  <c r="Q6" i="8" s="1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AG4" i="8"/>
  <c r="AG6" i="8" s="1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F74" i="7"/>
  <c r="AE74" i="7"/>
  <c r="AD74" i="7"/>
  <c r="AC74" i="7"/>
  <c r="AB74" i="7"/>
  <c r="AA74" i="7"/>
  <c r="Z74" i="7"/>
  <c r="Y74" i="7"/>
  <c r="S74" i="7"/>
  <c r="AG73" i="7"/>
  <c r="AF73" i="7"/>
  <c r="AE73" i="7"/>
  <c r="AD73" i="7"/>
  <c r="AC73" i="7"/>
  <c r="AB73" i="7"/>
  <c r="AA73" i="7"/>
  <c r="Z73" i="7"/>
  <c r="Y73" i="7"/>
  <c r="X73" i="7"/>
  <c r="X74" i="7" s="1"/>
  <c r="W73" i="7"/>
  <c r="W74" i="7" s="1"/>
  <c r="V73" i="7"/>
  <c r="V74" i="7" s="1"/>
  <c r="U73" i="7"/>
  <c r="U74" i="7" s="1"/>
  <c r="T73" i="7"/>
  <c r="T74" i="7" s="1"/>
  <c r="S73" i="7"/>
  <c r="R73" i="7"/>
  <c r="R74" i="7" s="1"/>
  <c r="Q73" i="7"/>
  <c r="Q74" i="7" s="1"/>
  <c r="P73" i="7"/>
  <c r="P74" i="7" s="1"/>
  <c r="O73" i="7"/>
  <c r="O74" i="7" s="1"/>
  <c r="N73" i="7"/>
  <c r="N74" i="7" s="1"/>
  <c r="M73" i="7"/>
  <c r="M74" i="7" s="1"/>
  <c r="L73" i="7"/>
  <c r="L74" i="7" s="1"/>
  <c r="K73" i="7"/>
  <c r="K74" i="7" s="1"/>
  <c r="J73" i="7"/>
  <c r="J74" i="7" s="1"/>
  <c r="I73" i="7"/>
  <c r="I74" i="7" s="1"/>
  <c r="H73" i="7"/>
  <c r="H74" i="7" s="1"/>
  <c r="G73" i="7"/>
  <c r="G74" i="7" s="1"/>
  <c r="F73" i="7"/>
  <c r="F74" i="7" s="1"/>
  <c r="E73" i="7"/>
  <c r="E74" i="7" s="1"/>
  <c r="D73" i="7"/>
  <c r="D74" i="7" s="1"/>
  <c r="C73" i="7"/>
  <c r="C74" i="7" s="1"/>
  <c r="AG72" i="7"/>
  <c r="AG74" i="7" s="1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39" i="7" s="1"/>
  <c r="AF40" i="7"/>
  <c r="AE40" i="7"/>
  <c r="AD40" i="7"/>
  <c r="AC40" i="7"/>
  <c r="AB40" i="7"/>
  <c r="AA40" i="7"/>
  <c r="Z40" i="7"/>
  <c r="Y40" i="7"/>
  <c r="S40" i="7"/>
  <c r="AF39" i="7"/>
  <c r="AE39" i="7"/>
  <c r="AD39" i="7"/>
  <c r="AC39" i="7"/>
  <c r="AB39" i="7"/>
  <c r="AA39" i="7"/>
  <c r="Z39" i="7"/>
  <c r="Y39" i="7"/>
  <c r="X39" i="7"/>
  <c r="X40" i="7" s="1"/>
  <c r="W39" i="7"/>
  <c r="W40" i="7" s="1"/>
  <c r="V39" i="7"/>
  <c r="V40" i="7" s="1"/>
  <c r="U39" i="7"/>
  <c r="U40" i="7" s="1"/>
  <c r="T39" i="7"/>
  <c r="T40" i="7" s="1"/>
  <c r="S39" i="7"/>
  <c r="R39" i="7"/>
  <c r="R40" i="7" s="1"/>
  <c r="Q39" i="7"/>
  <c r="Q40" i="7" s="1"/>
  <c r="P39" i="7"/>
  <c r="P40" i="7" s="1"/>
  <c r="O39" i="7"/>
  <c r="O40" i="7" s="1"/>
  <c r="N39" i="7"/>
  <c r="N40" i="7" s="1"/>
  <c r="M39" i="7"/>
  <c r="M40" i="7" s="1"/>
  <c r="L39" i="7"/>
  <c r="L40" i="7" s="1"/>
  <c r="K39" i="7"/>
  <c r="K40" i="7" s="1"/>
  <c r="J39" i="7"/>
  <c r="J40" i="7" s="1"/>
  <c r="I39" i="7"/>
  <c r="I40" i="7" s="1"/>
  <c r="H39" i="7"/>
  <c r="H40" i="7" s="1"/>
  <c r="G39" i="7"/>
  <c r="G40" i="7" s="1"/>
  <c r="F39" i="7"/>
  <c r="F40" i="7" s="1"/>
  <c r="E39" i="7"/>
  <c r="E40" i="7" s="1"/>
  <c r="D39" i="7"/>
  <c r="D40" i="7" s="1"/>
  <c r="C39" i="7"/>
  <c r="C40" i="7" s="1"/>
  <c r="AG38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F20" i="7"/>
  <c r="AE20" i="7"/>
  <c r="AD20" i="7"/>
  <c r="AC20" i="7"/>
  <c r="AB20" i="7"/>
  <c r="AA20" i="7"/>
  <c r="Z20" i="7"/>
  <c r="Y20" i="7"/>
  <c r="S20" i="7"/>
  <c r="AG19" i="7"/>
  <c r="AF19" i="7"/>
  <c r="AE19" i="7"/>
  <c r="AD19" i="7"/>
  <c r="AC19" i="7"/>
  <c r="AB19" i="7"/>
  <c r="AA19" i="7"/>
  <c r="Z19" i="7"/>
  <c r="Y19" i="7"/>
  <c r="X19" i="7"/>
  <c r="X20" i="7" s="1"/>
  <c r="W19" i="7"/>
  <c r="W20" i="7" s="1"/>
  <c r="V19" i="7"/>
  <c r="V20" i="7" s="1"/>
  <c r="U19" i="7"/>
  <c r="U20" i="7" s="1"/>
  <c r="T19" i="7"/>
  <c r="T20" i="7" s="1"/>
  <c r="S19" i="7"/>
  <c r="R19" i="7"/>
  <c r="R20" i="7" s="1"/>
  <c r="Q19" i="7"/>
  <c r="Q20" i="7" s="1"/>
  <c r="P19" i="7"/>
  <c r="P20" i="7" s="1"/>
  <c r="O19" i="7"/>
  <c r="O20" i="7" s="1"/>
  <c r="N19" i="7"/>
  <c r="N20" i="7" s="1"/>
  <c r="M19" i="7"/>
  <c r="M20" i="7" s="1"/>
  <c r="L19" i="7"/>
  <c r="L20" i="7" s="1"/>
  <c r="K19" i="7"/>
  <c r="K20" i="7" s="1"/>
  <c r="J19" i="7"/>
  <c r="J20" i="7" s="1"/>
  <c r="I19" i="7"/>
  <c r="I20" i="7" s="1"/>
  <c r="H19" i="7"/>
  <c r="H20" i="7" s="1"/>
  <c r="G19" i="7"/>
  <c r="G20" i="7" s="1"/>
  <c r="F19" i="7"/>
  <c r="F20" i="7" s="1"/>
  <c r="E19" i="7"/>
  <c r="E20" i="7" s="1"/>
  <c r="D19" i="7"/>
  <c r="D20" i="7" s="1"/>
  <c r="C19" i="7"/>
  <c r="C20" i="7" s="1"/>
  <c r="AG18" i="7"/>
  <c r="AG20" i="7" s="1"/>
  <c r="AG14" i="7"/>
  <c r="AG13" i="7"/>
  <c r="AG12" i="7"/>
  <c r="AG11" i="7"/>
  <c r="AG10" i="7"/>
  <c r="AG9" i="7"/>
  <c r="AG8" i="7"/>
  <c r="AG7" i="7"/>
  <c r="AG5" i="7" s="1"/>
  <c r="AF6" i="7"/>
  <c r="AE6" i="7"/>
  <c r="AD6" i="7"/>
  <c r="AC6" i="7"/>
  <c r="AB6" i="7"/>
  <c r="AA6" i="7"/>
  <c r="Z6" i="7"/>
  <c r="Y6" i="7"/>
  <c r="S6" i="7"/>
  <c r="AF5" i="7"/>
  <c r="AE5" i="7"/>
  <c r="AD5" i="7"/>
  <c r="AC5" i="7"/>
  <c r="AB5" i="7"/>
  <c r="AA5" i="7"/>
  <c r="Z5" i="7"/>
  <c r="Y5" i="7"/>
  <c r="X5" i="7"/>
  <c r="X6" i="7" s="1"/>
  <c r="W5" i="7"/>
  <c r="W6" i="7" s="1"/>
  <c r="V5" i="7"/>
  <c r="V6" i="7" s="1"/>
  <c r="U5" i="7"/>
  <c r="U6" i="7" s="1"/>
  <c r="T5" i="7"/>
  <c r="T6" i="7" s="1"/>
  <c r="S5" i="7"/>
  <c r="R5" i="7"/>
  <c r="R6" i="7" s="1"/>
  <c r="Q5" i="7"/>
  <c r="Q6" i="7" s="1"/>
  <c r="P5" i="7"/>
  <c r="P6" i="7" s="1"/>
  <c r="O5" i="7"/>
  <c r="O6" i="7" s="1"/>
  <c r="N5" i="7"/>
  <c r="N6" i="7" s="1"/>
  <c r="M5" i="7"/>
  <c r="M6" i="7" s="1"/>
  <c r="L5" i="7"/>
  <c r="L6" i="7" s="1"/>
  <c r="K5" i="7"/>
  <c r="K6" i="7" s="1"/>
  <c r="J5" i="7"/>
  <c r="J6" i="7" s="1"/>
  <c r="I5" i="7"/>
  <c r="I6" i="7" s="1"/>
  <c r="H5" i="7"/>
  <c r="H6" i="7" s="1"/>
  <c r="G5" i="7"/>
  <c r="G6" i="7" s="1"/>
  <c r="F5" i="7"/>
  <c r="F6" i="7" s="1"/>
  <c r="E5" i="7"/>
  <c r="E6" i="7" s="1"/>
  <c r="D5" i="7"/>
  <c r="D6" i="7" s="1"/>
  <c r="C5" i="7"/>
  <c r="C6" i="7" s="1"/>
  <c r="AG4" i="7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AG115" i="1" s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G113" i="1" s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G111" i="1" s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G109" i="1" s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G107" i="1" s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G105" i="1" s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AG103" i="1" s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G101" i="1" s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AG99" i="1" s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G97" i="1" s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G95" i="1" s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G93" i="1" s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G91" i="1" s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G89" i="1" s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G87" i="1" s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G85" i="1" s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G83" i="1" s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G81" i="1" s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G79" i="1" s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G77" i="1" s="1"/>
  <c r="AF76" i="1"/>
  <c r="AE76" i="1"/>
  <c r="AD76" i="1"/>
  <c r="AC76" i="1"/>
  <c r="AC73" i="1" s="1"/>
  <c r="AB76" i="1"/>
  <c r="AA76" i="1"/>
  <c r="Z76" i="1"/>
  <c r="Y76" i="1"/>
  <c r="Y73" i="1" s="1"/>
  <c r="X76" i="1"/>
  <c r="W76" i="1"/>
  <c r="V76" i="1"/>
  <c r="U76" i="1"/>
  <c r="U73" i="1" s="1"/>
  <c r="T76" i="1"/>
  <c r="S76" i="1"/>
  <c r="R76" i="1"/>
  <c r="Q76" i="1"/>
  <c r="Q73" i="1" s="1"/>
  <c r="P76" i="1"/>
  <c r="O76" i="1"/>
  <c r="N76" i="1"/>
  <c r="M76" i="1"/>
  <c r="M73" i="1" s="1"/>
  <c r="L76" i="1"/>
  <c r="K76" i="1"/>
  <c r="J76" i="1"/>
  <c r="I76" i="1"/>
  <c r="I73" i="1" s="1"/>
  <c r="H76" i="1"/>
  <c r="G76" i="1"/>
  <c r="F76" i="1"/>
  <c r="E76" i="1"/>
  <c r="E73" i="1" s="1"/>
  <c r="D76" i="1"/>
  <c r="C76" i="1"/>
  <c r="AF75" i="1"/>
  <c r="AF73" i="1" s="1"/>
  <c r="AE75" i="1"/>
  <c r="AE73" i="1" s="1"/>
  <c r="AD75" i="1"/>
  <c r="AC75" i="1"/>
  <c r="AB75" i="1"/>
  <c r="AB73" i="1" s="1"/>
  <c r="AA75" i="1"/>
  <c r="AA73" i="1" s="1"/>
  <c r="Z75" i="1"/>
  <c r="Y75" i="1"/>
  <c r="X75" i="1"/>
  <c r="X73" i="1" s="1"/>
  <c r="W75" i="1"/>
  <c r="W73" i="1" s="1"/>
  <c r="V75" i="1"/>
  <c r="U75" i="1"/>
  <c r="T75" i="1"/>
  <c r="T73" i="1" s="1"/>
  <c r="S75" i="1"/>
  <c r="S73" i="1" s="1"/>
  <c r="R75" i="1"/>
  <c r="Q75" i="1"/>
  <c r="P75" i="1"/>
  <c r="P73" i="1" s="1"/>
  <c r="O75" i="1"/>
  <c r="O73" i="1" s="1"/>
  <c r="N75" i="1"/>
  <c r="M75" i="1"/>
  <c r="L75" i="1"/>
  <c r="L73" i="1" s="1"/>
  <c r="K75" i="1"/>
  <c r="K73" i="1" s="1"/>
  <c r="J75" i="1"/>
  <c r="I75" i="1"/>
  <c r="H75" i="1"/>
  <c r="H73" i="1" s="1"/>
  <c r="G75" i="1"/>
  <c r="G73" i="1" s="1"/>
  <c r="F75" i="1"/>
  <c r="E75" i="1"/>
  <c r="D75" i="1"/>
  <c r="D73" i="1" s="1"/>
  <c r="C75" i="1"/>
  <c r="AG75" i="1" s="1"/>
  <c r="AD73" i="1"/>
  <c r="Z73" i="1"/>
  <c r="V73" i="1"/>
  <c r="R73" i="1"/>
  <c r="N73" i="1"/>
  <c r="J73" i="1"/>
  <c r="F73" i="1"/>
  <c r="AF72" i="1"/>
  <c r="AF74" i="1" s="1"/>
  <c r="AF17" i="2" s="1"/>
  <c r="AE72" i="1"/>
  <c r="AE74" i="1" s="1"/>
  <c r="AE17" i="2" s="1"/>
  <c r="AD72" i="1"/>
  <c r="AD74" i="1" s="1"/>
  <c r="AD17" i="2" s="1"/>
  <c r="AC72" i="1"/>
  <c r="AC74" i="1" s="1"/>
  <c r="AC17" i="2" s="1"/>
  <c r="AB72" i="1"/>
  <c r="AB74" i="1" s="1"/>
  <c r="AB17" i="2" s="1"/>
  <c r="AA72" i="1"/>
  <c r="AA74" i="1" s="1"/>
  <c r="AA17" i="2" s="1"/>
  <c r="Z72" i="1"/>
  <c r="Z74" i="1" s="1"/>
  <c r="Z17" i="2" s="1"/>
  <c r="Y72" i="1"/>
  <c r="Y74" i="1" s="1"/>
  <c r="Y17" i="2" s="1"/>
  <c r="X72" i="1"/>
  <c r="W72" i="1"/>
  <c r="V72" i="1"/>
  <c r="U72" i="1"/>
  <c r="T72" i="1"/>
  <c r="S72" i="1"/>
  <c r="S74" i="1" s="1"/>
  <c r="S17" i="2" s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G57" i="1" s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G55" i="1" s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G53" i="1" s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G51" i="1" s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G49" i="1" s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G47" i="1" s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G45" i="1" s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G43" i="1" s="1"/>
  <c r="AF42" i="1"/>
  <c r="AF39" i="1" s="1"/>
  <c r="AE42" i="1"/>
  <c r="AD42" i="1"/>
  <c r="AC42" i="1"/>
  <c r="AB42" i="1"/>
  <c r="AB39" i="1" s="1"/>
  <c r="AA42" i="1"/>
  <c r="Z42" i="1"/>
  <c r="Y42" i="1"/>
  <c r="X42" i="1"/>
  <c r="X39" i="1" s="1"/>
  <c r="W42" i="1"/>
  <c r="V42" i="1"/>
  <c r="U42" i="1"/>
  <c r="T42" i="1"/>
  <c r="T39" i="1" s="1"/>
  <c r="S42" i="1"/>
  <c r="R42" i="1"/>
  <c r="Q42" i="1"/>
  <c r="P42" i="1"/>
  <c r="P39" i="1" s="1"/>
  <c r="O42" i="1"/>
  <c r="N42" i="1"/>
  <c r="M42" i="1"/>
  <c r="L42" i="1"/>
  <c r="L39" i="1" s="1"/>
  <c r="K42" i="1"/>
  <c r="J42" i="1"/>
  <c r="I42" i="1"/>
  <c r="H42" i="1"/>
  <c r="H39" i="1" s="1"/>
  <c r="G42" i="1"/>
  <c r="F42" i="1"/>
  <c r="E42" i="1"/>
  <c r="D42" i="1"/>
  <c r="D39" i="1" s="1"/>
  <c r="C42" i="1"/>
  <c r="AF41" i="1"/>
  <c r="AE41" i="1"/>
  <c r="AE39" i="1" s="1"/>
  <c r="AD41" i="1"/>
  <c r="AC41" i="1"/>
  <c r="AB41" i="1"/>
  <c r="AA41" i="1"/>
  <c r="AA39" i="1" s="1"/>
  <c r="Z41" i="1"/>
  <c r="Y41" i="1"/>
  <c r="X41" i="1"/>
  <c r="W41" i="1"/>
  <c r="W39" i="1" s="1"/>
  <c r="V41" i="1"/>
  <c r="U41" i="1"/>
  <c r="T41" i="1"/>
  <c r="S41" i="1"/>
  <c r="S39" i="1" s="1"/>
  <c r="R41" i="1"/>
  <c r="Q41" i="1"/>
  <c r="P41" i="1"/>
  <c r="O41" i="1"/>
  <c r="O39" i="1" s="1"/>
  <c r="N41" i="1"/>
  <c r="M41" i="1"/>
  <c r="L41" i="1"/>
  <c r="K41" i="1"/>
  <c r="K39" i="1" s="1"/>
  <c r="J41" i="1"/>
  <c r="I41" i="1"/>
  <c r="H41" i="1"/>
  <c r="G41" i="1"/>
  <c r="G39" i="1" s="1"/>
  <c r="F41" i="1"/>
  <c r="E41" i="1"/>
  <c r="D41" i="1"/>
  <c r="C41" i="1"/>
  <c r="AG41" i="1" s="1"/>
  <c r="AD39" i="1"/>
  <c r="AC39" i="1"/>
  <c r="Z39" i="1"/>
  <c r="Y39" i="1"/>
  <c r="V39" i="1"/>
  <c r="U39" i="1"/>
  <c r="R39" i="1"/>
  <c r="Q39" i="1"/>
  <c r="N39" i="1"/>
  <c r="M39" i="1"/>
  <c r="J39" i="1"/>
  <c r="I39" i="1"/>
  <c r="F39" i="1"/>
  <c r="E39" i="1"/>
  <c r="AF38" i="1"/>
  <c r="AF40" i="1" s="1"/>
  <c r="AF11" i="2" s="1"/>
  <c r="AE38" i="1"/>
  <c r="AE40" i="1" s="1"/>
  <c r="AE11" i="2" s="1"/>
  <c r="AD38" i="1"/>
  <c r="AD40" i="1" s="1"/>
  <c r="AD11" i="2" s="1"/>
  <c r="AC38" i="1"/>
  <c r="AC40" i="1" s="1"/>
  <c r="AC11" i="2" s="1"/>
  <c r="AB38" i="1"/>
  <c r="AB40" i="1" s="1"/>
  <c r="AB11" i="2" s="1"/>
  <c r="AA38" i="1"/>
  <c r="AA40" i="1" s="1"/>
  <c r="AA11" i="2" s="1"/>
  <c r="Z38" i="1"/>
  <c r="Z40" i="1" s="1"/>
  <c r="Z11" i="2" s="1"/>
  <c r="Y38" i="1"/>
  <c r="Y40" i="1" s="1"/>
  <c r="Y11" i="2" s="1"/>
  <c r="X38" i="1"/>
  <c r="W38" i="1"/>
  <c r="V38" i="1"/>
  <c r="U38" i="1"/>
  <c r="T38" i="1"/>
  <c r="S38" i="1"/>
  <c r="S40" i="1" s="1"/>
  <c r="S11" i="2" s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G32" i="1" s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G30" i="1" s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G28" i="1" s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G26" i="1" s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G24" i="1" s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F22" i="1"/>
  <c r="AE22" i="1"/>
  <c r="AE19" i="1" s="1"/>
  <c r="AD22" i="1"/>
  <c r="AC22" i="1"/>
  <c r="AB22" i="1"/>
  <c r="AA22" i="1"/>
  <c r="AA19" i="1" s="1"/>
  <c r="Z22" i="1"/>
  <c r="Y22" i="1"/>
  <c r="X22" i="1"/>
  <c r="W22" i="1"/>
  <c r="W19" i="1" s="1"/>
  <c r="V22" i="1"/>
  <c r="U22" i="1"/>
  <c r="T22" i="1"/>
  <c r="S22" i="1"/>
  <c r="S19" i="1" s="1"/>
  <c r="R22" i="1"/>
  <c r="Q22" i="1"/>
  <c r="P22" i="1"/>
  <c r="O22" i="1"/>
  <c r="O19" i="1" s="1"/>
  <c r="N22" i="1"/>
  <c r="M22" i="1"/>
  <c r="L22" i="1"/>
  <c r="K22" i="1"/>
  <c r="K19" i="1" s="1"/>
  <c r="J22" i="1"/>
  <c r="I22" i="1"/>
  <c r="H22" i="1"/>
  <c r="G22" i="1"/>
  <c r="G19" i="1" s="1"/>
  <c r="F22" i="1"/>
  <c r="E22" i="1"/>
  <c r="D22" i="1"/>
  <c r="C22" i="1"/>
  <c r="AG22" i="1" s="1"/>
  <c r="AF21" i="1"/>
  <c r="AE21" i="1"/>
  <c r="AD21" i="1"/>
  <c r="AD19" i="1" s="1"/>
  <c r="AC21" i="1"/>
  <c r="AC19" i="1" s="1"/>
  <c r="AB21" i="1"/>
  <c r="AA21" i="1"/>
  <c r="Z21" i="1"/>
  <c r="Z19" i="1" s="1"/>
  <c r="Y21" i="1"/>
  <c r="Y19" i="1" s="1"/>
  <c r="X21" i="1"/>
  <c r="W21" i="1"/>
  <c r="V21" i="1"/>
  <c r="V19" i="1" s="1"/>
  <c r="U21" i="1"/>
  <c r="U19" i="1" s="1"/>
  <c r="T21" i="1"/>
  <c r="S21" i="1"/>
  <c r="R21" i="1"/>
  <c r="R19" i="1" s="1"/>
  <c r="Q21" i="1"/>
  <c r="Q19" i="1" s="1"/>
  <c r="P21" i="1"/>
  <c r="O21" i="1"/>
  <c r="N21" i="1"/>
  <c r="N19" i="1" s="1"/>
  <c r="M21" i="1"/>
  <c r="M19" i="1" s="1"/>
  <c r="L21" i="1"/>
  <c r="K21" i="1"/>
  <c r="J21" i="1"/>
  <c r="J19" i="1" s="1"/>
  <c r="I21" i="1"/>
  <c r="I19" i="1" s="1"/>
  <c r="H21" i="1"/>
  <c r="G21" i="1"/>
  <c r="F21" i="1"/>
  <c r="F19" i="1" s="1"/>
  <c r="E21" i="1"/>
  <c r="E19" i="1" s="1"/>
  <c r="D21" i="1"/>
  <c r="C21" i="1"/>
  <c r="AF19" i="1"/>
  <c r="AB19" i="1"/>
  <c r="X19" i="1"/>
  <c r="T19" i="1"/>
  <c r="P19" i="1"/>
  <c r="L19" i="1"/>
  <c r="H19" i="1"/>
  <c r="D19" i="1"/>
  <c r="AF18" i="1"/>
  <c r="AF20" i="1" s="1"/>
  <c r="AE18" i="1"/>
  <c r="AE20" i="1" s="1"/>
  <c r="AD18" i="1"/>
  <c r="AD20" i="1" s="1"/>
  <c r="AC18" i="1"/>
  <c r="AC20" i="1" s="1"/>
  <c r="AB18" i="1"/>
  <c r="AB20" i="1" s="1"/>
  <c r="AA18" i="1"/>
  <c r="AA20" i="1" s="1"/>
  <c r="Z18" i="1"/>
  <c r="Z20" i="1" s="1"/>
  <c r="Y18" i="1"/>
  <c r="Y20" i="1" s="1"/>
  <c r="X18" i="1"/>
  <c r="W18" i="1"/>
  <c r="V18" i="1"/>
  <c r="U18" i="1"/>
  <c r="T18" i="1"/>
  <c r="S18" i="1"/>
  <c r="S20" i="1" s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F10" i="1"/>
  <c r="AE10" i="1"/>
  <c r="AD10" i="1"/>
  <c r="AC10" i="1"/>
  <c r="AB10" i="1"/>
  <c r="AA10" i="1"/>
  <c r="Z10" i="1"/>
  <c r="Y10" i="1"/>
  <c r="Y5" i="1" s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F8" i="1"/>
  <c r="AF5" i="1" s="1"/>
  <c r="AE8" i="1"/>
  <c r="AD8" i="1"/>
  <c r="AC8" i="1"/>
  <c r="AB8" i="1"/>
  <c r="AB5" i="1" s="1"/>
  <c r="AA8" i="1"/>
  <c r="Z8" i="1"/>
  <c r="Y8" i="1"/>
  <c r="X8" i="1"/>
  <c r="X5" i="1" s="1"/>
  <c r="W8" i="1"/>
  <c r="V8" i="1"/>
  <c r="U8" i="1"/>
  <c r="T8" i="1"/>
  <c r="T5" i="1" s="1"/>
  <c r="S8" i="1"/>
  <c r="R8" i="1"/>
  <c r="Q8" i="1"/>
  <c r="P8" i="1"/>
  <c r="P5" i="1" s="1"/>
  <c r="O8" i="1"/>
  <c r="N8" i="1"/>
  <c r="M8" i="1"/>
  <c r="L8" i="1"/>
  <c r="L5" i="1" s="1"/>
  <c r="K8" i="1"/>
  <c r="J8" i="1"/>
  <c r="I8" i="1"/>
  <c r="H8" i="1"/>
  <c r="H5" i="1" s="1"/>
  <c r="G8" i="1"/>
  <c r="F8" i="1"/>
  <c r="E8" i="1"/>
  <c r="D8" i="1"/>
  <c r="D5" i="1" s="1"/>
  <c r="C8" i="1"/>
  <c r="AF7" i="1"/>
  <c r="AE7" i="1"/>
  <c r="AE5" i="1" s="1"/>
  <c r="AD7" i="1"/>
  <c r="AD5" i="1" s="1"/>
  <c r="AC7" i="1"/>
  <c r="AB7" i="1"/>
  <c r="AA7" i="1"/>
  <c r="AA5" i="1" s="1"/>
  <c r="Z7" i="1"/>
  <c r="Z5" i="1" s="1"/>
  <c r="Y7" i="1"/>
  <c r="X7" i="1"/>
  <c r="W7" i="1"/>
  <c r="W5" i="1" s="1"/>
  <c r="V7" i="1"/>
  <c r="V5" i="1" s="1"/>
  <c r="U7" i="1"/>
  <c r="T7" i="1"/>
  <c r="S7" i="1"/>
  <c r="S5" i="1" s="1"/>
  <c r="R7" i="1"/>
  <c r="R5" i="1" s="1"/>
  <c r="Q7" i="1"/>
  <c r="P7" i="1"/>
  <c r="O7" i="1"/>
  <c r="O5" i="1" s="1"/>
  <c r="N7" i="1"/>
  <c r="N5" i="1" s="1"/>
  <c r="M7" i="1"/>
  <c r="L7" i="1"/>
  <c r="K7" i="1"/>
  <c r="K5" i="1" s="1"/>
  <c r="J7" i="1"/>
  <c r="J5" i="1" s="1"/>
  <c r="I7" i="1"/>
  <c r="H7" i="1"/>
  <c r="G7" i="1"/>
  <c r="G5" i="1" s="1"/>
  <c r="F7" i="1"/>
  <c r="E7" i="1"/>
  <c r="D7" i="1"/>
  <c r="C7" i="1"/>
  <c r="AC5" i="1"/>
  <c r="U5" i="1"/>
  <c r="Q5" i="1"/>
  <c r="M5" i="1"/>
  <c r="I5" i="1"/>
  <c r="F5" i="1"/>
  <c r="E5" i="1"/>
  <c r="AF4" i="1"/>
  <c r="AF6" i="1" s="1"/>
  <c r="AF5" i="2" s="1"/>
  <c r="AE4" i="1"/>
  <c r="AE6" i="1" s="1"/>
  <c r="AE5" i="2" s="1"/>
  <c r="AD4" i="1"/>
  <c r="AD6" i="1" s="1"/>
  <c r="AD5" i="2" s="1"/>
  <c r="AC4" i="1"/>
  <c r="AC6" i="1" s="1"/>
  <c r="AC5" i="2" s="1"/>
  <c r="AB4" i="1"/>
  <c r="AB6" i="1" s="1"/>
  <c r="AB5" i="2" s="1"/>
  <c r="AA4" i="1"/>
  <c r="AA6" i="1" s="1"/>
  <c r="AA5" i="2" s="1"/>
  <c r="Z4" i="1"/>
  <c r="Z6" i="1" s="1"/>
  <c r="Z5" i="2" s="1"/>
  <c r="Y4" i="1"/>
  <c r="Y6" i="1" s="1"/>
  <c r="Y5" i="2" s="1"/>
  <c r="X4" i="1"/>
  <c r="W4" i="1"/>
  <c r="V4" i="1"/>
  <c r="U4" i="1"/>
  <c r="T4" i="1"/>
  <c r="S4" i="1"/>
  <c r="S6" i="1" s="1"/>
  <c r="S5" i="2" s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K6" i="1" l="1"/>
  <c r="O6" i="1"/>
  <c r="O5" i="2" s="1"/>
  <c r="W6" i="1"/>
  <c r="D6" i="1"/>
  <c r="H6" i="1"/>
  <c r="L6" i="1"/>
  <c r="P6" i="1"/>
  <c r="T6" i="1"/>
  <c r="X6" i="1"/>
  <c r="AG9" i="1"/>
  <c r="F6" i="1"/>
  <c r="J6" i="1"/>
  <c r="N6" i="1"/>
  <c r="R6" i="1"/>
  <c r="R5" i="2" s="1"/>
  <c r="V6" i="1"/>
  <c r="AG8" i="1"/>
  <c r="AG10" i="1"/>
  <c r="AG12" i="1"/>
  <c r="AG14" i="1"/>
  <c r="E20" i="1"/>
  <c r="I20" i="1"/>
  <c r="M20" i="1"/>
  <c r="Q20" i="1"/>
  <c r="U20" i="1"/>
  <c r="C19" i="1"/>
  <c r="F40" i="1"/>
  <c r="F11" i="2" s="1"/>
  <c r="J40" i="1"/>
  <c r="J11" i="2" s="1"/>
  <c r="N40" i="1"/>
  <c r="N11" i="2" s="1"/>
  <c r="R40" i="1"/>
  <c r="R11" i="2" s="1"/>
  <c r="V40" i="1"/>
  <c r="V11" i="2" s="1"/>
  <c r="AG42" i="1"/>
  <c r="AG39" i="1" s="1"/>
  <c r="AG44" i="1"/>
  <c r="AG46" i="1"/>
  <c r="AG48" i="1"/>
  <c r="AG50" i="1"/>
  <c r="AG52" i="1"/>
  <c r="AG54" i="1"/>
  <c r="AG56" i="1"/>
  <c r="AG58" i="1"/>
  <c r="AG60" i="1"/>
  <c r="AG62" i="1"/>
  <c r="AG64" i="1"/>
  <c r="AG66" i="1"/>
  <c r="G74" i="1"/>
  <c r="G17" i="2" s="1"/>
  <c r="K74" i="1"/>
  <c r="K17" i="2" s="1"/>
  <c r="O74" i="1"/>
  <c r="O17" i="2" s="1"/>
  <c r="W74" i="1"/>
  <c r="W17" i="2" s="1"/>
  <c r="AG40" i="7"/>
  <c r="G6" i="1"/>
  <c r="F20" i="1"/>
  <c r="J20" i="1"/>
  <c r="N20" i="1"/>
  <c r="R20" i="1"/>
  <c r="V20" i="1"/>
  <c r="G40" i="1"/>
  <c r="G11" i="2" s="1"/>
  <c r="K40" i="1"/>
  <c r="K11" i="2" s="1"/>
  <c r="O40" i="1"/>
  <c r="O11" i="2" s="1"/>
  <c r="W40" i="1"/>
  <c r="W11" i="2" s="1"/>
  <c r="D74" i="1"/>
  <c r="D17" i="2" s="1"/>
  <c r="H74" i="1"/>
  <c r="H17" i="2" s="1"/>
  <c r="L74" i="1"/>
  <c r="L17" i="2" s="1"/>
  <c r="P74" i="1"/>
  <c r="P17" i="2" s="1"/>
  <c r="T74" i="1"/>
  <c r="T17" i="2" s="1"/>
  <c r="X74" i="1"/>
  <c r="X17" i="2" s="1"/>
  <c r="AG6" i="7"/>
  <c r="AG13" i="1"/>
  <c r="G20" i="1"/>
  <c r="K20" i="1"/>
  <c r="O20" i="1"/>
  <c r="W20" i="1"/>
  <c r="D40" i="1"/>
  <c r="D11" i="2" s="1"/>
  <c r="H40" i="1"/>
  <c r="H11" i="2" s="1"/>
  <c r="L40" i="1"/>
  <c r="L11" i="2" s="1"/>
  <c r="P40" i="1"/>
  <c r="P11" i="2" s="1"/>
  <c r="T40" i="1"/>
  <c r="T11" i="2" s="1"/>
  <c r="X40" i="1"/>
  <c r="X11" i="2" s="1"/>
  <c r="AG59" i="1"/>
  <c r="AG61" i="1"/>
  <c r="AG63" i="1"/>
  <c r="AG65" i="1"/>
  <c r="AG67" i="1"/>
  <c r="E74" i="1"/>
  <c r="E17" i="2" s="1"/>
  <c r="I74" i="1"/>
  <c r="I17" i="2" s="1"/>
  <c r="M74" i="1"/>
  <c r="M17" i="2" s="1"/>
  <c r="Q74" i="1"/>
  <c r="Q17" i="2" s="1"/>
  <c r="U74" i="1"/>
  <c r="U17" i="2" s="1"/>
  <c r="C73" i="1"/>
  <c r="AG7" i="1"/>
  <c r="AG11" i="1"/>
  <c r="E6" i="1"/>
  <c r="E5" i="2" s="1"/>
  <c r="I6" i="1"/>
  <c r="I5" i="2" s="1"/>
  <c r="M6" i="1"/>
  <c r="Q6" i="1"/>
  <c r="U6" i="1"/>
  <c r="U5" i="2" s="1"/>
  <c r="C5" i="1"/>
  <c r="C6" i="1" s="1"/>
  <c r="D20" i="1"/>
  <c r="H20" i="1"/>
  <c r="L20" i="1"/>
  <c r="P20" i="1"/>
  <c r="T20" i="1"/>
  <c r="X20" i="1"/>
  <c r="AG21" i="1"/>
  <c r="AG23" i="1"/>
  <c r="AG25" i="1"/>
  <c r="AG27" i="1"/>
  <c r="AG29" i="1"/>
  <c r="AG31" i="1"/>
  <c r="AG33" i="1"/>
  <c r="E40" i="1"/>
  <c r="E11" i="2" s="1"/>
  <c r="I40" i="1"/>
  <c r="I11" i="2" s="1"/>
  <c r="M40" i="1"/>
  <c r="M11" i="2" s="1"/>
  <c r="Q40" i="1"/>
  <c r="Q11" i="2" s="1"/>
  <c r="U40" i="1"/>
  <c r="U11" i="2" s="1"/>
  <c r="C39" i="1"/>
  <c r="C40" i="1" s="1"/>
  <c r="C11" i="2" s="1"/>
  <c r="F74" i="1"/>
  <c r="F17" i="2" s="1"/>
  <c r="J74" i="1"/>
  <c r="J17" i="2" s="1"/>
  <c r="N74" i="1"/>
  <c r="N17" i="2" s="1"/>
  <c r="R74" i="1"/>
  <c r="R17" i="2" s="1"/>
  <c r="V74" i="1"/>
  <c r="V17" i="2" s="1"/>
  <c r="AG76" i="1"/>
  <c r="AG73" i="1" s="1"/>
  <c r="AG78" i="1"/>
  <c r="AG80" i="1"/>
  <c r="AG82" i="1"/>
  <c r="AG84" i="1"/>
  <c r="AG86" i="1"/>
  <c r="AG88" i="1"/>
  <c r="AG90" i="1"/>
  <c r="AG92" i="1"/>
  <c r="AG94" i="1"/>
  <c r="AG96" i="1"/>
  <c r="AG98" i="1"/>
  <c r="AG100" i="1"/>
  <c r="AG102" i="1"/>
  <c r="AG104" i="1"/>
  <c r="AG106" i="1"/>
  <c r="AG108" i="1"/>
  <c r="AG110" i="1"/>
  <c r="AG112" i="1"/>
  <c r="AG114" i="1"/>
  <c r="AG116" i="1"/>
  <c r="AG4" i="1"/>
  <c r="C20" i="1"/>
  <c r="AG18" i="1"/>
  <c r="AG38" i="1"/>
  <c r="C74" i="1"/>
  <c r="C17" i="2" s="1"/>
  <c r="AG72" i="1"/>
  <c r="Q5" i="2" l="1"/>
  <c r="G5" i="2"/>
  <c r="N5" i="2"/>
  <c r="X5" i="2"/>
  <c r="H5" i="2"/>
  <c r="K5" i="2"/>
  <c r="AG40" i="1"/>
  <c r="AG19" i="1"/>
  <c r="AG20" i="1" s="1"/>
  <c r="L5" i="2"/>
  <c r="AG74" i="1"/>
  <c r="M5" i="2"/>
  <c r="AG5" i="1"/>
  <c r="AG6" i="1" s="1"/>
  <c r="J5" i="2"/>
  <c r="T5" i="2"/>
  <c r="D5" i="2"/>
  <c r="V5" i="2"/>
  <c r="F5" i="2"/>
  <c r="P5" i="2"/>
  <c r="W5" i="2"/>
  <c r="C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arnab.n</author>
  </authors>
  <commentList>
    <comment ref="N49" authorId="0" shapeId="0" xr:uid="{00000000-0006-0000-0200-000001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O49" authorId="0" shapeId="0" xr:uid="{00000000-0006-0000-0200-000002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P49" authorId="0" shapeId="0" xr:uid="{00000000-0006-0000-0200-000003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U49" authorId="0" shapeId="0" xr:uid="{00000000-0006-0000-0200-000004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W49" authorId="0" shapeId="0" xr:uid="{00000000-0006-0000-0200-000005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arnab.n</author>
  </authors>
  <commentList>
    <comment ref="P49" authorId="0" shapeId="0" xr:uid="{00000000-0006-0000-0300-000001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U49" authorId="0" shapeId="0" xr:uid="{00000000-0006-0000-0300-000002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W49" authorId="0" shapeId="0" xr:uid="{00000000-0006-0000-0300-000003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  <comment ref="X49" authorId="0" shapeId="0" xr:uid="{00000000-0006-0000-0300-000004000000}">
      <text>
        <r>
          <rPr>
            <b/>
            <sz val="9"/>
            <rFont val="Times New Roman"/>
          </rPr>
          <t>Dust Bubbles</t>
        </r>
        <r>
          <rPr>
            <sz val="9"/>
            <rFont val="Times New Roman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<sst xmlns="http://schemas.openxmlformats.org/spreadsheetml/2006/main" count="457" uniqueCount="87">
  <si>
    <t>Pre-El Inspection report_ Sep '25</t>
  </si>
  <si>
    <t>Date</t>
  </si>
  <si>
    <t>Month total</t>
  </si>
  <si>
    <t>Total Production</t>
  </si>
  <si>
    <t>Total rejection</t>
  </si>
  <si>
    <t>Rejection %</t>
  </si>
  <si>
    <t>Micro Crack</t>
  </si>
  <si>
    <t>Dead Cell</t>
  </si>
  <si>
    <t>Dry Soldering</t>
  </si>
  <si>
    <t>Poor Soldering</t>
  </si>
  <si>
    <t>Cross Crack</t>
  </si>
  <si>
    <t>Grid Defect</t>
  </si>
  <si>
    <t>Visual Crack</t>
  </si>
  <si>
    <t>Dark Area</t>
  </si>
  <si>
    <t>Visual Inspection report_ Sep '25</t>
  </si>
  <si>
    <t>%</t>
  </si>
  <si>
    <t>Misalignment</t>
  </si>
  <si>
    <t>Cell To Cell Touch</t>
  </si>
  <si>
    <t>Chipping</t>
  </si>
  <si>
    <t>Tabbing Missing</t>
  </si>
  <si>
    <t>Cell Scratch</t>
  </si>
  <si>
    <t xml:space="preserve">EVA Spot </t>
  </si>
  <si>
    <t>Spot On Cell</t>
  </si>
  <si>
    <t>Ribbon Bend</t>
  </si>
  <si>
    <t>String To String Gap</t>
  </si>
  <si>
    <t>Ribbon Missing</t>
  </si>
  <si>
    <t>Extra Cell</t>
  </si>
  <si>
    <t>Extra Ribbon</t>
  </si>
  <si>
    <t>Dust</t>
  </si>
  <si>
    <t>Lam-QC Inspection report_Sep '25</t>
  </si>
  <si>
    <t>Bubbles On Cell</t>
  </si>
  <si>
    <t>Barcode Bubbles</t>
  </si>
  <si>
    <t>Cell Cutting</t>
  </si>
  <si>
    <t>Cell Crack</t>
  </si>
  <si>
    <t>Cell Chipping</t>
  </si>
  <si>
    <t>D - Lam</t>
  </si>
  <si>
    <t>Insect</t>
  </si>
  <si>
    <t>Hair On Cell</t>
  </si>
  <si>
    <t>Logo Bubbles</t>
  </si>
  <si>
    <t>Logo Missing</t>
  </si>
  <si>
    <t>Yellow Spot On Ribbon</t>
  </si>
  <si>
    <t>Tape  Bubbles</t>
  </si>
  <si>
    <t>Tape On Cell</t>
  </si>
  <si>
    <t>Bottom Gap</t>
  </si>
  <si>
    <t>Reverse Glass</t>
  </si>
  <si>
    <t>Side Gap Improper</t>
  </si>
  <si>
    <t>FQC Inspection report_Sep '25</t>
  </si>
  <si>
    <t>Rjection %</t>
  </si>
  <si>
    <t>Backsheet Impression</t>
  </si>
  <si>
    <t>Cell To Bus Ribbon  Gap</t>
  </si>
  <si>
    <t>Cell Mixup</t>
  </si>
  <si>
    <t>Different Power Cell</t>
  </si>
  <si>
    <t>EVA Not Melt</t>
  </si>
  <si>
    <t>Glass Shift</t>
  </si>
  <si>
    <t>Mesh Glass Problem</t>
  </si>
  <si>
    <t>Glass Broken</t>
  </si>
  <si>
    <t>Ribbon Dry  Soldering</t>
  </si>
  <si>
    <t>Ribbon Bubbles</t>
  </si>
  <si>
    <t>Tape On  Bubbles</t>
  </si>
  <si>
    <t>Visible Crack</t>
  </si>
  <si>
    <t>V- Shape Crack</t>
  </si>
  <si>
    <t>Pin Crack</t>
  </si>
  <si>
    <t>String Offset</t>
  </si>
  <si>
    <t>Pre-lam Rejection %</t>
  </si>
  <si>
    <t>Target</t>
  </si>
  <si>
    <t>Rej. %</t>
  </si>
  <si>
    <t xml:space="preserve">Lam-QC Rejection % </t>
  </si>
  <si>
    <t xml:space="preserve">Target </t>
  </si>
  <si>
    <t>rejection %</t>
  </si>
  <si>
    <t>FQC Rejection %</t>
  </si>
  <si>
    <t>Backsheet Scratch</t>
  </si>
  <si>
    <t>Glass Scratch</t>
  </si>
  <si>
    <t>Pre-El Inspection report_August'24</t>
  </si>
  <si>
    <t>Visual Inspection report_ August'24</t>
  </si>
  <si>
    <t>Lam-QC Inspection report_August'24</t>
  </si>
  <si>
    <t>Glass Shifted</t>
  </si>
  <si>
    <t>FQC Inspection report_August'24</t>
  </si>
  <si>
    <t>Defects</t>
  </si>
  <si>
    <t>Root Cause</t>
  </si>
  <si>
    <t>Action Taken</t>
  </si>
  <si>
    <t>Main reason for Cell Cracks
1.Z bend Misplacement
2.Ribbon Bend 
3.Sliipage from Pre-EL
4.Laminator problem</t>
  </si>
  <si>
    <t>1. Slippage from stringer-5 and laser cutting also</t>
  </si>
  <si>
    <t>1.Slipage from pre-lam</t>
  </si>
  <si>
    <t>1.Bubbles on cell were coming for dust which was creating from front EVA loader</t>
  </si>
  <si>
    <t>1.J/B Rework
2.Corner gap and frame rework</t>
  </si>
  <si>
    <t>1.Slippage from Pre-lam
2.Changed cell were not soldered properly</t>
  </si>
  <si>
    <t>Inspect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</si>
</sst>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\-mmm"/>
  </numFmts>
  <fonts count="1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8"/>
      <color theme="1"/>
      <name val="Tahoma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9"/>
      <color theme="1"/>
      <name val="Tahoma"/>
      <charset val="134"/>
    </font>
    <font>
      <sz val="9"/>
      <name val="Times New Roman"/>
    </font>
    <font>
      <b/>
      <sz val="9"/>
      <name val="Times New Roman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/>
      <right/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0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5" xfId="0" applyNumberFormat="1" applyFont="1" applyFill="1" applyBorder="1" applyAlignment="1">
      <alignment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vertical="center"/>
      <protection locked="0"/>
    </xf>
    <xf numFmtId="0" fontId="0" fillId="2" borderId="0" xfId="0" applyFill="1"/>
    <xf numFmtId="0" fontId="0" fillId="2" borderId="0" xfId="0" applyFill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0" fontId="2" fillId="2" borderId="6" xfId="0" applyNumberFormat="1" applyFont="1" applyFill="1" applyBorder="1" applyAlignment="1">
      <alignment vertical="center"/>
    </xf>
    <xf numFmtId="10" fontId="2" fillId="2" borderId="7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/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3" fontId="5" fillId="2" borderId="1" xfId="0" applyNumberFormat="1" applyFont="1" applyFill="1" applyBorder="1" applyAlignment="1">
      <alignment horizontal="center"/>
    </xf>
    <xf numFmtId="0" fontId="6" fillId="2" borderId="0" xfId="2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/>
    <xf numFmtId="0" fontId="7" fillId="4" borderId="1" xfId="0" applyFont="1" applyFill="1" applyBorder="1"/>
    <xf numFmtId="10" fontId="7" fillId="0" borderId="1" xfId="0" applyNumberFormat="1" applyFont="1" applyBorder="1"/>
    <xf numFmtId="0" fontId="7" fillId="5" borderId="1" xfId="0" applyFont="1" applyFill="1" applyBorder="1"/>
    <xf numFmtId="10" fontId="7" fillId="0" borderId="1" xfId="1" applyNumberFormat="1" applyFont="1" applyBorder="1"/>
    <xf numFmtId="41" fontId="3" fillId="2" borderId="1" xfId="0" applyNumberFormat="1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Lam-QC rej.</a:t>
            </a:r>
            <a:r>
              <a:rPr lang="en-US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Sep'25</a:t>
            </a:r>
            <a:endParaRPr lang="en-US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44234477439259501"/>
          <c:y val="4.2194092827004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82189925742103E-2"/>
          <c:y val="0.134175960346964"/>
          <c:w val="0.94684940050329502"/>
          <c:h val="0.546456692913386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Trend.!$B$11</c:f>
              <c:strCache>
                <c:ptCount val="1"/>
                <c:pt idx="0">
                  <c:v>rejection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Trend.!$C$9:$AF$9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Trend.!$C$11:$AF$11</c:f>
              <c:numCache>
                <c:formatCode>0.00%</c:formatCode>
                <c:ptCount val="30"/>
                <c:pt idx="0">
                  <c:v>7.8470824949698186E-3</c:v>
                </c:pt>
                <c:pt idx="1">
                  <c:v>6.46371976647206E-3</c:v>
                </c:pt>
                <c:pt idx="2">
                  <c:v>6.8562210123008669E-3</c:v>
                </c:pt>
                <c:pt idx="3">
                  <c:v>6.0606060606060606E-3</c:v>
                </c:pt>
                <c:pt idx="4">
                  <c:v>7.1899340922708206E-3</c:v>
                </c:pt>
                <c:pt idx="5">
                  <c:v>5.8268032951577257E-3</c:v>
                </c:pt>
                <c:pt idx="6">
                  <c:v>6.6119014225606088E-3</c:v>
                </c:pt>
                <c:pt idx="7">
                  <c:v>6.2417249858142615E-3</c:v>
                </c:pt>
                <c:pt idx="8">
                  <c:v>7.5024679170779861E-3</c:v>
                </c:pt>
                <c:pt idx="9">
                  <c:v>8.3977900552486186E-3</c:v>
                </c:pt>
                <c:pt idx="10">
                  <c:v>7.4989866234292666E-3</c:v>
                </c:pt>
                <c:pt idx="11">
                  <c:v>7.8110116212611923E-3</c:v>
                </c:pt>
                <c:pt idx="12">
                  <c:v>6.7226890756302525E-3</c:v>
                </c:pt>
                <c:pt idx="13">
                  <c:v>7.3166270349368937E-3</c:v>
                </c:pt>
                <c:pt idx="14">
                  <c:v>7.3253193087903833E-3</c:v>
                </c:pt>
                <c:pt idx="15">
                  <c:v>5.4325955734406441E-3</c:v>
                </c:pt>
                <c:pt idx="16">
                  <c:v>0</c:v>
                </c:pt>
                <c:pt idx="17">
                  <c:v>5.7842046718576193E-3</c:v>
                </c:pt>
                <c:pt idx="18">
                  <c:v>6.132542037586548E-3</c:v>
                </c:pt>
                <c:pt idx="19">
                  <c:v>2.5540275049115912E-3</c:v>
                </c:pt>
                <c:pt idx="20">
                  <c:v>7.3863636363636362E-3</c:v>
                </c:pt>
                <c:pt idx="21">
                  <c:v>8.3018867924528304E-3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0-4C03-BD95-DA0863ED0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40576"/>
        <c:axId val="144842112"/>
      </c:barChart>
      <c:lineChart>
        <c:grouping val="standard"/>
        <c:varyColors val="0"/>
        <c:ser>
          <c:idx val="0"/>
          <c:order val="0"/>
          <c:tx>
            <c:strRef>
              <c:f>Trend.!$B$10</c:f>
              <c:strCache>
                <c:ptCount val="1"/>
                <c:pt idx="0">
                  <c:v>Target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Trend.!$C$9:$AF$9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Trend.!$C$10:$AF$10</c:f>
              <c:numCache>
                <c:formatCode>0.00%</c:formatCode>
                <c:ptCount val="3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0-4C03-BD95-DA0863ED0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40576"/>
        <c:axId val="144842112"/>
      </c:lineChart>
      <c:dateAx>
        <c:axId val="144840576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4842112"/>
        <c:crosses val="autoZero"/>
        <c:auto val="1"/>
        <c:lblOffset val="100"/>
        <c:baseTimeUnit val="days"/>
      </c:dateAx>
      <c:valAx>
        <c:axId val="144842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Pre-lam rej. Sep'25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7637051601"/>
          <c:y val="0.15376005083080099"/>
          <c:w val="0.86601618547681503"/>
          <c:h val="0.543308003530125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Trend.!$B$5</c:f>
              <c:strCache>
                <c:ptCount val="1"/>
                <c:pt idx="0">
                  <c:v>Rej. 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Trend.!$C$3:$AF$3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Trend.!$C$5:$AF$5</c:f>
              <c:numCache>
                <c:formatCode>0.00%</c:formatCode>
                <c:ptCount val="30"/>
                <c:pt idx="0">
                  <c:v>0.13046141282155982</c:v>
                </c:pt>
                <c:pt idx="1">
                  <c:v>0.14021987139597594</c:v>
                </c:pt>
                <c:pt idx="2">
                  <c:v>0.13808197373656983</c:v>
                </c:pt>
                <c:pt idx="3">
                  <c:v>0.13374526609527607</c:v>
                </c:pt>
                <c:pt idx="4">
                  <c:v>0.13807615230460921</c:v>
                </c:pt>
                <c:pt idx="5">
                  <c:v>0.13506493506493505</c:v>
                </c:pt>
                <c:pt idx="6">
                  <c:v>0.13893822774817446</c:v>
                </c:pt>
                <c:pt idx="7">
                  <c:v>0.13998468019915741</c:v>
                </c:pt>
                <c:pt idx="8">
                  <c:v>0.13341181086913872</c:v>
                </c:pt>
                <c:pt idx="9">
                  <c:v>0.13378378378378378</c:v>
                </c:pt>
                <c:pt idx="10">
                  <c:v>0.10936254980079681</c:v>
                </c:pt>
                <c:pt idx="11">
                  <c:v>0.10681293302540415</c:v>
                </c:pt>
                <c:pt idx="12">
                  <c:v>9.6815519765739391E-2</c:v>
                </c:pt>
                <c:pt idx="13">
                  <c:v>0.10386699047263218</c:v>
                </c:pt>
                <c:pt idx="14">
                  <c:v>0.12253547079417726</c:v>
                </c:pt>
                <c:pt idx="15">
                  <c:v>0.12952586206896552</c:v>
                </c:pt>
                <c:pt idx="16">
                  <c:v>0</c:v>
                </c:pt>
                <c:pt idx="17">
                  <c:v>0.12573715248525696</c:v>
                </c:pt>
                <c:pt idx="18">
                  <c:v>0.13180914512922465</c:v>
                </c:pt>
                <c:pt idx="19">
                  <c:v>0.10986892829606786</c:v>
                </c:pt>
                <c:pt idx="20">
                  <c:v>0.1072561089349002</c:v>
                </c:pt>
                <c:pt idx="21">
                  <c:v>0.11301501732768579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4-4E9B-AAB6-A31856F2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80384"/>
        <c:axId val="144881920"/>
      </c:barChart>
      <c:lineChart>
        <c:grouping val="standard"/>
        <c:varyColors val="0"/>
        <c:ser>
          <c:idx val="0"/>
          <c:order val="0"/>
          <c:tx>
            <c:strRef>
              <c:f>Trend.!$B$4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Trend.!$C$3:$AF$3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Trend.!$C$4:$AF$4</c:f>
              <c:numCache>
                <c:formatCode>0.00%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4-4E9B-AAB6-A31856F2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0384"/>
        <c:axId val="144881920"/>
      </c:lineChart>
      <c:dateAx>
        <c:axId val="144880384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4881920"/>
        <c:crosses val="autoZero"/>
        <c:auto val="1"/>
        <c:lblOffset val="100"/>
        <c:baseTimeUnit val="days"/>
      </c:dateAx>
      <c:valAx>
        <c:axId val="1448819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/>
              <a:t>FQC rej. Sep'25</a:t>
            </a:r>
          </a:p>
        </c:rich>
      </c:tx>
      <c:layout>
        <c:manualLayout>
          <c:xMode val="edge"/>
          <c:yMode val="edge"/>
          <c:x val="0.44511892279675502"/>
          <c:y val="2.4653674571495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468352238936201E-2"/>
          <c:y val="0.12905503634475601"/>
          <c:w val="0.94239036846305702"/>
          <c:h val="0.5168513748865499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Trend.!$B$17</c:f>
              <c:strCache>
                <c:ptCount val="1"/>
                <c:pt idx="0">
                  <c:v>rejection 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Trend.!$C$15:$AF$15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Trend.!$C$17:$AF$17</c:f>
              <c:numCache>
                <c:formatCode>0.00%</c:formatCode>
                <c:ptCount val="30"/>
                <c:pt idx="0">
                  <c:v>7.3829415193316494E-3</c:v>
                </c:pt>
                <c:pt idx="1">
                  <c:v>7.8756476683937825E-3</c:v>
                </c:pt>
                <c:pt idx="2">
                  <c:v>6.0617911615174032E-3</c:v>
                </c:pt>
                <c:pt idx="3">
                  <c:v>8.8422784289533211E-3</c:v>
                </c:pt>
                <c:pt idx="4">
                  <c:v>4.3903412492516461E-3</c:v>
                </c:pt>
                <c:pt idx="5">
                  <c:v>5.7518488085456041E-3</c:v>
                </c:pt>
                <c:pt idx="6">
                  <c:v>5.3835800807537013E-3</c:v>
                </c:pt>
                <c:pt idx="7">
                  <c:v>5.5769230769230765E-3</c:v>
                </c:pt>
                <c:pt idx="8">
                  <c:v>5.8263740532142165E-3</c:v>
                </c:pt>
                <c:pt idx="9">
                  <c:v>5.8297706956859695E-3</c:v>
                </c:pt>
                <c:pt idx="10">
                  <c:v>6.970260223048327E-3</c:v>
                </c:pt>
                <c:pt idx="11">
                  <c:v>4.807692307692308E-3</c:v>
                </c:pt>
                <c:pt idx="12">
                  <c:v>5.9615384615384617E-3</c:v>
                </c:pt>
                <c:pt idx="13">
                  <c:v>7.2755121577637374E-3</c:v>
                </c:pt>
                <c:pt idx="14">
                  <c:v>2.8735632183908046E-3</c:v>
                </c:pt>
                <c:pt idx="15">
                  <c:v>9.805806575658528E-3</c:v>
                </c:pt>
                <c:pt idx="16">
                  <c:v>0</c:v>
                </c:pt>
                <c:pt idx="17">
                  <c:v>1.5507310589277803E-3</c:v>
                </c:pt>
                <c:pt idx="18">
                  <c:v>7.4971164936562858E-3</c:v>
                </c:pt>
                <c:pt idx="19">
                  <c:v>4.2372881355932203E-3</c:v>
                </c:pt>
                <c:pt idx="20">
                  <c:v>4.4205266192581206E-3</c:v>
                </c:pt>
                <c:pt idx="21">
                  <c:v>7.3020753266717911E-3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B5D-9190-F6D9C551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180800"/>
        <c:axId val="149182336"/>
      </c:barChart>
      <c:lineChart>
        <c:grouping val="standard"/>
        <c:varyColors val="0"/>
        <c:ser>
          <c:idx val="0"/>
          <c:order val="0"/>
          <c:tx>
            <c:strRef>
              <c:f>Trend.!$B$16</c:f>
              <c:strCache>
                <c:ptCount val="1"/>
                <c:pt idx="0">
                  <c:v>Target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Trend.!$C$15:$AF$15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Trend.!$C$16:$AF$16</c:f>
              <c:numCache>
                <c:formatCode>0.00%</c:formatCode>
                <c:ptCount val="3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F-4B5D-9190-F6D9C551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80800"/>
        <c:axId val="149182336"/>
      </c:lineChart>
      <c:dateAx>
        <c:axId val="149180800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9182336"/>
        <c:crosses val="autoZero"/>
        <c:auto val="1"/>
        <c:lblOffset val="100"/>
        <c:baseTimeUnit val="days"/>
      </c:dateAx>
      <c:valAx>
        <c:axId val="14918233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91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33</xdr:row>
      <xdr:rowOff>142875</xdr:rowOff>
    </xdr:from>
    <xdr:to>
      <xdr:col>19</xdr:col>
      <xdr:colOff>419100</xdr:colOff>
      <xdr:row>49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447674</xdr:colOff>
      <xdr:row>16</xdr:row>
      <xdr:rowOff>133349</xdr:rowOff>
    </xdr:from>
    <xdr:to>
      <xdr:col>20</xdr:col>
      <xdr:colOff>209550</xdr:colOff>
      <xdr:row>32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123824</xdr:colOff>
      <xdr:row>49</xdr:row>
      <xdr:rowOff>152399</xdr:rowOff>
    </xdr:from>
    <xdr:to>
      <xdr:col>19</xdr:col>
      <xdr:colOff>409575</xdr:colOff>
      <xdr:row>68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2279650</xdr:colOff>
          <xdr:row>1</xdr:row>
          <xdr:rowOff>0</xdr:rowOff>
        </xdr:from>
        <xdr:to>
          <xdr:col>12</xdr:col>
          <xdr:colOff>501650</xdr:colOff>
          <xdr:row>20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101600</xdr:colOff>
          <xdr:row>1</xdr:row>
          <xdr:rowOff>0</xdr:rowOff>
        </xdr:from>
        <xdr:to>
          <xdr:col>3</xdr:col>
          <xdr:colOff>2209800</xdr:colOff>
          <xdr:row>20</xdr:row>
          <xdr:rowOff>38100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42"/>
  <sheetViews>
    <sheetView showGridLines="0" topLeftCell="A69" zoomScale="85" zoomScaleNormal="85" workbookViewId="0">
      <pane xSplit="2" topLeftCell="Z1" activePane="topRight" state="frozen"/>
      <selection pane="topRight" activeCell="B74" sqref="B74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30" width="9.08984375" style="7"/>
    <col min="31" max="32" width="11" style="7"/>
    <col min="33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f>'Line - 1'!C4+'Line - 2'!C4</f>
        <v>4898</v>
      </c>
      <c r="D4" s="12">
        <f>'Line - 1'!D4+'Line - 2'!D4</f>
        <v>4821</v>
      </c>
      <c r="E4" s="12">
        <f>'Line - 1'!E4+'Line - 2'!E4</f>
        <v>5026</v>
      </c>
      <c r="F4" s="12">
        <f>'Line - 1'!F4+'Line - 2'!F4</f>
        <v>5017</v>
      </c>
      <c r="G4" s="12">
        <f>'Line - 1'!G4+'Line - 2'!G4</f>
        <v>4990</v>
      </c>
      <c r="H4" s="12">
        <f>'Line - 1'!H4+'Line - 2'!H4</f>
        <v>5005</v>
      </c>
      <c r="I4" s="12">
        <f>'Line - 1'!I4+'Line - 2'!I4</f>
        <v>5067</v>
      </c>
      <c r="J4" s="12">
        <f>'Line - 1'!J4+'Line - 2'!J4</f>
        <v>5222</v>
      </c>
      <c r="K4" s="12">
        <f>'Line - 1'!K4+'Line - 2'!K4</f>
        <v>5097</v>
      </c>
      <c r="L4" s="12">
        <f>'Line - 1'!L4+'Line - 2'!L4</f>
        <v>4440</v>
      </c>
      <c r="M4" s="12">
        <f>'Line - 1'!M4+'Line - 2'!M4</f>
        <v>5020</v>
      </c>
      <c r="N4" s="12">
        <f>'Line - 1'!N4+'Line - 2'!N4</f>
        <v>5196</v>
      </c>
      <c r="O4" s="12">
        <f>'Line - 1'!O4+'Line - 2'!O4</f>
        <v>5464</v>
      </c>
      <c r="P4" s="12">
        <f>'Line - 1'!P4+'Line - 2'!P4</f>
        <v>5353</v>
      </c>
      <c r="Q4" s="12">
        <f>'Line - 1'!Q4+'Line - 2'!Q4</f>
        <v>5427</v>
      </c>
      <c r="R4" s="12">
        <f>'Line - 1'!R4+'Line - 2'!R4</f>
        <v>4640</v>
      </c>
      <c r="S4" s="12">
        <f>'Line - 1'!S4+'Line - 2'!S4</f>
        <v>0</v>
      </c>
      <c r="T4" s="12">
        <f>'Line - 1'!T4+'Line - 2'!T4</f>
        <v>4748</v>
      </c>
      <c r="U4" s="12">
        <f>'Line - 1'!U4+'Line - 2'!U4</f>
        <v>5030</v>
      </c>
      <c r="V4" s="12">
        <f>'Line - 1'!V4+'Line - 2'!V4</f>
        <v>5188</v>
      </c>
      <c r="W4" s="12">
        <f>'Line - 1'!W4+'Line - 2'!W4</f>
        <v>5361</v>
      </c>
      <c r="X4" s="12">
        <f>'Line - 1'!X4+'Line - 2'!X4</f>
        <v>5194</v>
      </c>
      <c r="Y4" s="12">
        <f>'Line - 1'!Y4+'Line - 2'!Y4</f>
        <v>0</v>
      </c>
      <c r="Z4" s="12">
        <f>'Line - 1'!Z4+'Line - 2'!Z4</f>
        <v>0</v>
      </c>
      <c r="AA4" s="12">
        <f>'Line - 1'!AA4+'Line - 2'!AA4</f>
        <v>0</v>
      </c>
      <c r="AB4" s="12">
        <f>'Line - 1'!AB4+'Line - 2'!AB4</f>
        <v>0</v>
      </c>
      <c r="AC4" s="12">
        <f>'Line - 1'!AC4+'Line - 2'!AC4</f>
        <v>0</v>
      </c>
      <c r="AD4" s="12">
        <f>'Line - 1'!AD4+'Line - 2'!AD4</f>
        <v>0</v>
      </c>
      <c r="AE4" s="12">
        <f>'Line - 1'!AE4+'Line - 2'!AE4</f>
        <v>0</v>
      </c>
      <c r="AF4" s="12">
        <f>'Line - 1'!AF4+'Line - 2'!AF4</f>
        <v>0</v>
      </c>
      <c r="AG4" s="30">
        <f>SUM(C4:AF4)</f>
        <v>106204</v>
      </c>
    </row>
    <row r="5" spans="2:33" ht="15" customHeight="1">
      <c r="B5" s="11" t="s">
        <v>4</v>
      </c>
      <c r="C5" s="12">
        <f t="shared" ref="C5:N5" si="0">SUM(C7:C14)</f>
        <v>450</v>
      </c>
      <c r="D5" s="12">
        <f t="shared" si="0"/>
        <v>467</v>
      </c>
      <c r="E5" s="12">
        <f t="shared" si="0"/>
        <v>435</v>
      </c>
      <c r="F5" s="12">
        <f t="shared" si="0"/>
        <v>429</v>
      </c>
      <c r="G5" s="12">
        <f t="shared" si="0"/>
        <v>428</v>
      </c>
      <c r="H5" s="12">
        <f t="shared" si="0"/>
        <v>449</v>
      </c>
      <c r="I5" s="12">
        <f t="shared" si="0"/>
        <v>456</v>
      </c>
      <c r="J5" s="12">
        <f t="shared" si="0"/>
        <v>489</v>
      </c>
      <c r="K5" s="12">
        <f t="shared" si="0"/>
        <v>491</v>
      </c>
      <c r="L5" s="12">
        <f t="shared" si="0"/>
        <v>437</v>
      </c>
      <c r="M5" s="12">
        <f t="shared" si="0"/>
        <v>374</v>
      </c>
      <c r="N5" s="12">
        <f t="shared" si="0"/>
        <v>369</v>
      </c>
      <c r="O5" s="12">
        <f t="shared" ref="O5:P5" si="1">SUM(O7:O14)</f>
        <v>373</v>
      </c>
      <c r="P5" s="12">
        <f t="shared" si="1"/>
        <v>409</v>
      </c>
      <c r="Q5" s="12">
        <f t="shared" ref="Q5:R5" si="2">SUM(Q7:Q14)</f>
        <v>490</v>
      </c>
      <c r="R5" s="12">
        <f t="shared" si="2"/>
        <v>454</v>
      </c>
      <c r="S5" s="12">
        <f t="shared" ref="S5:AF5" si="3">SUM(S7:S14)</f>
        <v>0</v>
      </c>
      <c r="T5" s="12">
        <f t="shared" si="3"/>
        <v>441</v>
      </c>
      <c r="U5" s="12">
        <f t="shared" si="3"/>
        <v>469</v>
      </c>
      <c r="V5" s="12">
        <f t="shared" si="3"/>
        <v>382</v>
      </c>
      <c r="W5" s="12">
        <f t="shared" si="3"/>
        <v>408</v>
      </c>
      <c r="X5" s="12">
        <f t="shared" si="3"/>
        <v>415</v>
      </c>
      <c r="Y5" s="12">
        <f t="shared" si="3"/>
        <v>0</v>
      </c>
      <c r="Z5" s="12">
        <f t="shared" si="3"/>
        <v>0</v>
      </c>
      <c r="AA5" s="12">
        <f t="shared" si="3"/>
        <v>0</v>
      </c>
      <c r="AB5" s="12">
        <f t="shared" si="3"/>
        <v>0</v>
      </c>
      <c r="AC5" s="12">
        <f t="shared" si="3"/>
        <v>0</v>
      </c>
      <c r="AD5" s="12">
        <f t="shared" si="3"/>
        <v>0</v>
      </c>
      <c r="AE5" s="12">
        <f t="shared" si="3"/>
        <v>0</v>
      </c>
      <c r="AF5" s="12">
        <f t="shared" si="3"/>
        <v>0</v>
      </c>
      <c r="AG5" s="12">
        <f>SUM(AG7:AG14)</f>
        <v>9115</v>
      </c>
    </row>
    <row r="6" spans="2:33" ht="15" customHeight="1">
      <c r="B6" s="13" t="s">
        <v>5</v>
      </c>
      <c r="C6" s="14">
        <f>IF(C4=0,0,(C5/C4))</f>
        <v>9.1874234381380149E-2</v>
      </c>
      <c r="D6" s="14">
        <f t="shared" ref="D6:N6" si="4">IF(D4=0,0,(D5/D4))</f>
        <v>9.6867869736569176E-2</v>
      </c>
      <c r="E6" s="14">
        <f t="shared" si="4"/>
        <v>8.6549940310385987E-2</v>
      </c>
      <c r="F6" s="14">
        <f t="shared" si="4"/>
        <v>8.5509268487143714E-2</v>
      </c>
      <c r="G6" s="14">
        <f t="shared" si="4"/>
        <v>8.5771543086172339E-2</v>
      </c>
      <c r="H6" s="14">
        <f t="shared" si="4"/>
        <v>8.9710289710289715E-2</v>
      </c>
      <c r="I6" s="14">
        <f t="shared" si="4"/>
        <v>8.9994079336885732E-2</v>
      </c>
      <c r="J6" s="14">
        <f t="shared" si="4"/>
        <v>9.3642282650325551E-2</v>
      </c>
      <c r="K6" s="14">
        <f t="shared" si="4"/>
        <v>9.6331175201098684E-2</v>
      </c>
      <c r="L6" s="14">
        <f t="shared" si="4"/>
        <v>9.8423423423423417E-2</v>
      </c>
      <c r="M6" s="14">
        <f t="shared" si="4"/>
        <v>7.4501992031872508E-2</v>
      </c>
      <c r="N6" s="14">
        <f t="shared" si="4"/>
        <v>7.1016166281755194E-2</v>
      </c>
      <c r="O6" s="14">
        <f t="shared" ref="O6:P6" si="5">IF(O4=0,0,(O5/O4))</f>
        <v>6.8265007320644222E-2</v>
      </c>
      <c r="P6" s="14">
        <f t="shared" si="5"/>
        <v>7.6405753782925467E-2</v>
      </c>
      <c r="Q6" s="14">
        <f t="shared" ref="Q6:R6" si="6">IF(Q4=0,0,(Q5/Q4))</f>
        <v>9.0289294269393777E-2</v>
      </c>
      <c r="R6" s="14">
        <f t="shared" si="6"/>
        <v>9.7844827586206898E-2</v>
      </c>
      <c r="S6" s="14">
        <f t="shared" ref="S6:AF6" si="7">IF(S4=0,0,(S5/S4))</f>
        <v>0</v>
      </c>
      <c r="T6" s="14">
        <f t="shared" si="7"/>
        <v>9.288121314237574E-2</v>
      </c>
      <c r="U6" s="14">
        <f t="shared" si="7"/>
        <v>9.3240556660039761E-2</v>
      </c>
      <c r="V6" s="14">
        <f t="shared" si="7"/>
        <v>7.3631457208943721E-2</v>
      </c>
      <c r="W6" s="14">
        <f t="shared" si="7"/>
        <v>7.6105204252937889E-2</v>
      </c>
      <c r="X6" s="14">
        <f t="shared" si="7"/>
        <v>7.989988448209473E-2</v>
      </c>
      <c r="Y6" s="14">
        <f t="shared" si="7"/>
        <v>0</v>
      </c>
      <c r="Z6" s="14">
        <f t="shared" si="7"/>
        <v>0</v>
      </c>
      <c r="AA6" s="14">
        <f t="shared" si="7"/>
        <v>0</v>
      </c>
      <c r="AB6" s="14">
        <f t="shared" si="7"/>
        <v>0</v>
      </c>
      <c r="AC6" s="14">
        <f t="shared" si="7"/>
        <v>0</v>
      </c>
      <c r="AD6" s="14">
        <f t="shared" si="7"/>
        <v>0</v>
      </c>
      <c r="AE6" s="14">
        <f t="shared" si="7"/>
        <v>0</v>
      </c>
      <c r="AF6" s="14">
        <f t="shared" si="7"/>
        <v>0</v>
      </c>
      <c r="AG6" s="14">
        <f>IF(AG4=0,0,(AG5/AG4))</f>
        <v>8.5825392640578507E-2</v>
      </c>
    </row>
    <row r="7" spans="2:33" ht="15" customHeight="1">
      <c r="B7" s="11" t="s">
        <v>6</v>
      </c>
      <c r="C7" s="42">
        <f>'Line - 1'!C7+'Line - 2'!C7</f>
        <v>57</v>
      </c>
      <c r="D7" s="42">
        <f>'Line - 1'!D7+'Line - 2'!D7</f>
        <v>73</v>
      </c>
      <c r="E7" s="42">
        <f>'Line - 1'!E7+'Line - 2'!E7</f>
        <v>54</v>
      </c>
      <c r="F7" s="42">
        <f>'Line - 1'!F7+'Line - 2'!F7</f>
        <v>67</v>
      </c>
      <c r="G7" s="42">
        <f>'Line - 1'!G7+'Line - 2'!G7</f>
        <v>58</v>
      </c>
      <c r="H7" s="42">
        <f>'Line - 1'!H7+'Line - 2'!H7</f>
        <v>65</v>
      </c>
      <c r="I7" s="42">
        <f>'Line - 1'!I7+'Line - 2'!I7</f>
        <v>72</v>
      </c>
      <c r="J7" s="42">
        <f>'Line - 1'!J7+'Line - 2'!J7</f>
        <v>76</v>
      </c>
      <c r="K7" s="42">
        <f>'Line - 1'!K7+'Line - 2'!K7</f>
        <v>60</v>
      </c>
      <c r="L7" s="42">
        <f>'Line - 1'!L7+'Line - 2'!L7</f>
        <v>64</v>
      </c>
      <c r="M7" s="42">
        <f>'Line - 1'!M7+'Line - 2'!M7</f>
        <v>82</v>
      </c>
      <c r="N7" s="42">
        <f>'Line - 1'!N7+'Line - 2'!N7</f>
        <v>69</v>
      </c>
      <c r="O7" s="42">
        <f>'Line - 1'!O7+'Line - 2'!O7</f>
        <v>47</v>
      </c>
      <c r="P7" s="42">
        <f>'Line - 1'!P7+'Line - 2'!P7</f>
        <v>56</v>
      </c>
      <c r="Q7" s="42">
        <f>'Line - 1'!Q7+'Line - 2'!Q7</f>
        <v>68</v>
      </c>
      <c r="R7" s="42">
        <f>'Line - 1'!R7+'Line - 2'!R7</f>
        <v>72</v>
      </c>
      <c r="S7" s="42">
        <f>'Line - 1'!S7+'Line - 2'!S7</f>
        <v>0</v>
      </c>
      <c r="T7" s="42">
        <f>'Line - 1'!T7+'Line - 2'!T7</f>
        <v>82</v>
      </c>
      <c r="U7" s="42">
        <f>'Line - 1'!U7+'Line - 2'!U7</f>
        <v>57</v>
      </c>
      <c r="V7" s="42">
        <f>'Line - 1'!V7+'Line - 2'!V7</f>
        <v>49</v>
      </c>
      <c r="W7" s="42">
        <f>'Line - 1'!W7+'Line - 2'!W7</f>
        <v>51</v>
      </c>
      <c r="X7" s="42">
        <f>'Line - 1'!X7+'Line - 2'!X7</f>
        <v>56</v>
      </c>
      <c r="Y7" s="42">
        <f>'Line - 1'!Y7+'Line - 2'!Y7</f>
        <v>0</v>
      </c>
      <c r="Z7" s="42">
        <f>'Line - 1'!Z7+'Line - 2'!Z7</f>
        <v>0</v>
      </c>
      <c r="AA7" s="42">
        <f>'Line - 1'!AA7+'Line - 2'!AA7</f>
        <v>0</v>
      </c>
      <c r="AB7" s="42">
        <f>'Line - 1'!AB7+'Line - 2'!AB7</f>
        <v>0</v>
      </c>
      <c r="AC7" s="42">
        <f>'Line - 1'!AC7+'Line - 2'!AC7</f>
        <v>0</v>
      </c>
      <c r="AD7" s="42">
        <f>'Line - 1'!AD7+'Line - 2'!AD7</f>
        <v>0</v>
      </c>
      <c r="AE7" s="42">
        <f>'Line - 1'!AE7+'Line - 2'!AE7</f>
        <v>0</v>
      </c>
      <c r="AF7" s="42">
        <f>'Line - 1'!AF7+'Line - 2'!AF7</f>
        <v>0</v>
      </c>
      <c r="AG7" s="30">
        <f t="shared" ref="AG7:AG14" si="8">+SUM(C7:AF7)</f>
        <v>1335</v>
      </c>
    </row>
    <row r="8" spans="2:33" ht="15" customHeight="1">
      <c r="B8" s="11" t="s">
        <v>7</v>
      </c>
      <c r="C8" s="42">
        <f>'Line - 1'!C8+'Line - 2'!C8</f>
        <v>3</v>
      </c>
      <c r="D8" s="42">
        <f>'Line - 1'!D8+'Line - 2'!D8</f>
        <v>1</v>
      </c>
      <c r="E8" s="42">
        <f>'Line - 1'!E8+'Line - 2'!E8</f>
        <v>2</v>
      </c>
      <c r="F8" s="42">
        <f>'Line - 1'!F8+'Line - 2'!F8</f>
        <v>6</v>
      </c>
      <c r="G8" s="42">
        <f>'Line - 1'!G8+'Line - 2'!G8</f>
        <v>4</v>
      </c>
      <c r="H8" s="42">
        <f>'Line - 1'!H8+'Line - 2'!H8</f>
        <v>3</v>
      </c>
      <c r="I8" s="42">
        <f>'Line - 1'!I8+'Line - 2'!I8</f>
        <v>0</v>
      </c>
      <c r="J8" s="42">
        <f>'Line - 1'!J8+'Line - 2'!J8</f>
        <v>8</v>
      </c>
      <c r="K8" s="42">
        <f>'Line - 1'!K8+'Line - 2'!K8</f>
        <v>3</v>
      </c>
      <c r="L8" s="42">
        <f>'Line - 1'!L8+'Line - 2'!L8</f>
        <v>4</v>
      </c>
      <c r="M8" s="42">
        <f>'Line - 1'!M8+'Line - 2'!M8</f>
        <v>1</v>
      </c>
      <c r="N8" s="42">
        <f>'Line - 1'!N8+'Line - 2'!N8</f>
        <v>1</v>
      </c>
      <c r="O8" s="42">
        <f>'Line - 1'!O8+'Line - 2'!O8</f>
        <v>0</v>
      </c>
      <c r="P8" s="42">
        <f>'Line - 1'!P8+'Line - 2'!P8</f>
        <v>3</v>
      </c>
      <c r="Q8" s="42">
        <f>'Line - 1'!Q8+'Line - 2'!Q8</f>
        <v>6</v>
      </c>
      <c r="R8" s="42">
        <f>'Line - 1'!R8+'Line - 2'!R8</f>
        <v>0</v>
      </c>
      <c r="S8" s="42">
        <f>'Line - 1'!S8+'Line - 2'!S8</f>
        <v>0</v>
      </c>
      <c r="T8" s="42">
        <f>'Line - 1'!T8+'Line - 2'!T8</f>
        <v>4</v>
      </c>
      <c r="U8" s="42">
        <f>'Line - 1'!U8+'Line - 2'!U8</f>
        <v>3</v>
      </c>
      <c r="V8" s="42">
        <f>'Line - 1'!V8+'Line - 2'!V8</f>
        <v>5</v>
      </c>
      <c r="W8" s="42">
        <f>'Line - 1'!W8+'Line - 2'!W8</f>
        <v>2</v>
      </c>
      <c r="X8" s="42">
        <f>'Line - 1'!X8+'Line - 2'!X8</f>
        <v>2</v>
      </c>
      <c r="Y8" s="42">
        <f>'Line - 1'!Y8+'Line - 2'!Y8</f>
        <v>0</v>
      </c>
      <c r="Z8" s="42">
        <f>'Line - 1'!Z8+'Line - 2'!Z8</f>
        <v>0</v>
      </c>
      <c r="AA8" s="42">
        <f>'Line - 1'!AA8+'Line - 2'!AA8</f>
        <v>0</v>
      </c>
      <c r="AB8" s="42">
        <f>'Line - 1'!AB8+'Line - 2'!AB8</f>
        <v>0</v>
      </c>
      <c r="AC8" s="42">
        <f>'Line - 1'!AC8+'Line - 2'!AC8</f>
        <v>0</v>
      </c>
      <c r="AD8" s="42">
        <f>'Line - 1'!AD8+'Line - 2'!AD8</f>
        <v>0</v>
      </c>
      <c r="AE8" s="42">
        <f>'Line - 1'!AE8+'Line - 2'!AE8</f>
        <v>0</v>
      </c>
      <c r="AF8" s="42">
        <f>'Line - 1'!AF8+'Line - 2'!AF8</f>
        <v>0</v>
      </c>
      <c r="AG8" s="30">
        <f t="shared" si="8"/>
        <v>61</v>
      </c>
    </row>
    <row r="9" spans="2:33" ht="15" customHeight="1">
      <c r="B9" s="11" t="s">
        <v>8</v>
      </c>
      <c r="C9" s="42">
        <f>'Line - 1'!C9+'Line - 2'!C9</f>
        <v>287</v>
      </c>
      <c r="D9" s="42">
        <f>'Line - 1'!D9+'Line - 2'!D9</f>
        <v>273</v>
      </c>
      <c r="E9" s="42">
        <f>'Line - 1'!E9+'Line - 2'!E9</f>
        <v>289</v>
      </c>
      <c r="F9" s="42">
        <f>'Line - 1'!F9+'Line - 2'!F9</f>
        <v>261</v>
      </c>
      <c r="G9" s="42">
        <f>'Line - 1'!G9+'Line - 2'!G9</f>
        <v>270</v>
      </c>
      <c r="H9" s="42">
        <f>'Line - 1'!H9+'Line - 2'!H9</f>
        <v>262</v>
      </c>
      <c r="I9" s="42">
        <f>'Line - 1'!I9+'Line - 2'!I9</f>
        <v>240</v>
      </c>
      <c r="J9" s="42">
        <f>'Line - 1'!J9+'Line - 2'!J9</f>
        <v>251</v>
      </c>
      <c r="K9" s="42">
        <f>'Line - 1'!K9+'Line - 2'!K9</f>
        <v>288</v>
      </c>
      <c r="L9" s="42">
        <f>'Line - 1'!L9+'Line - 2'!L9</f>
        <v>246</v>
      </c>
      <c r="M9" s="42">
        <f>'Line - 1'!M9+'Line - 2'!M9</f>
        <v>167</v>
      </c>
      <c r="N9" s="42">
        <f>'Line - 1'!N9+'Line - 2'!N9</f>
        <v>184</v>
      </c>
      <c r="O9" s="42">
        <f>'Line - 1'!O9+'Line - 2'!O9</f>
        <v>212</v>
      </c>
      <c r="P9" s="42">
        <f>'Line - 1'!P9+'Line - 2'!P9</f>
        <v>240</v>
      </c>
      <c r="Q9" s="42">
        <f>'Line - 1'!Q9+'Line - 2'!Q9</f>
        <v>292</v>
      </c>
      <c r="R9" s="42">
        <f>'Line - 1'!R9+'Line - 2'!R9</f>
        <v>244</v>
      </c>
      <c r="S9" s="42">
        <f>'Line - 1'!S9+'Line - 2'!S9</f>
        <v>0</v>
      </c>
      <c r="T9" s="42">
        <f>'Line - 1'!T9+'Line - 2'!T9</f>
        <v>242</v>
      </c>
      <c r="U9" s="42">
        <f>'Line - 1'!U9+'Line - 2'!U9</f>
        <v>308</v>
      </c>
      <c r="V9" s="42">
        <f>'Line - 1'!V9+'Line - 2'!V9</f>
        <v>239</v>
      </c>
      <c r="W9" s="42">
        <f>'Line - 1'!W9+'Line - 2'!W9</f>
        <v>269</v>
      </c>
      <c r="X9" s="42">
        <f>'Line - 1'!X9+'Line - 2'!X9</f>
        <v>252</v>
      </c>
      <c r="Y9" s="42">
        <f>'Line - 1'!Y9+'Line - 2'!Y9</f>
        <v>0</v>
      </c>
      <c r="Z9" s="42">
        <f>'Line - 1'!Z9+'Line - 2'!Z9</f>
        <v>0</v>
      </c>
      <c r="AA9" s="42">
        <f>'Line - 1'!AA9+'Line - 2'!AA9</f>
        <v>0</v>
      </c>
      <c r="AB9" s="42">
        <f>'Line - 1'!AB9+'Line - 2'!AB9</f>
        <v>0</v>
      </c>
      <c r="AC9" s="42">
        <f>'Line - 1'!AC9+'Line - 2'!AC9</f>
        <v>0</v>
      </c>
      <c r="AD9" s="42">
        <f>'Line - 1'!AD9+'Line - 2'!AD9</f>
        <v>0</v>
      </c>
      <c r="AE9" s="42">
        <f>'Line - 1'!AE9+'Line - 2'!AE9</f>
        <v>0</v>
      </c>
      <c r="AF9" s="42">
        <f>'Line - 1'!AF9+'Line - 2'!AF9</f>
        <v>0</v>
      </c>
      <c r="AG9" s="30">
        <f t="shared" si="8"/>
        <v>5316</v>
      </c>
    </row>
    <row r="10" spans="2:33" ht="15" customHeight="1">
      <c r="B10" s="11" t="s">
        <v>9</v>
      </c>
      <c r="C10" s="42">
        <f>'Line - 1'!C10+'Line - 2'!C10</f>
        <v>0</v>
      </c>
      <c r="D10" s="42">
        <f>'Line - 1'!D10+'Line - 2'!D10</f>
        <v>0</v>
      </c>
      <c r="E10" s="42">
        <f>'Line - 1'!E10+'Line - 2'!E10</f>
        <v>0</v>
      </c>
      <c r="F10" s="42">
        <f>'Line - 1'!F10+'Line - 2'!F10</f>
        <v>0</v>
      </c>
      <c r="G10" s="42">
        <f>'Line - 1'!G10+'Line - 2'!G10</f>
        <v>0</v>
      </c>
      <c r="H10" s="42">
        <f>'Line - 1'!H10+'Line - 2'!H10</f>
        <v>0</v>
      </c>
      <c r="I10" s="42">
        <f>'Line - 1'!I10+'Line - 2'!I10</f>
        <v>0</v>
      </c>
      <c r="J10" s="42">
        <f>'Line - 1'!J10+'Line - 2'!J10</f>
        <v>0</v>
      </c>
      <c r="K10" s="42">
        <f>'Line - 1'!K10+'Line - 2'!K10</f>
        <v>0</v>
      </c>
      <c r="L10" s="42">
        <f>'Line - 1'!L10+'Line - 2'!L10</f>
        <v>0</v>
      </c>
      <c r="M10" s="42">
        <f>'Line - 1'!M10+'Line - 2'!M10</f>
        <v>0</v>
      </c>
      <c r="N10" s="42">
        <f>'Line - 1'!N10+'Line - 2'!N10</f>
        <v>0</v>
      </c>
      <c r="O10" s="42">
        <f>'Line - 1'!O10+'Line - 2'!O10</f>
        <v>0</v>
      </c>
      <c r="P10" s="42">
        <f>'Line - 1'!P10+'Line - 2'!P10</f>
        <v>0</v>
      </c>
      <c r="Q10" s="42">
        <f>'Line - 1'!Q10+'Line - 2'!Q10</f>
        <v>0</v>
      </c>
      <c r="R10" s="42">
        <f>'Line - 1'!R10+'Line - 2'!R10</f>
        <v>0</v>
      </c>
      <c r="S10" s="42">
        <f>'Line - 1'!S10+'Line - 2'!S10</f>
        <v>0</v>
      </c>
      <c r="T10" s="42">
        <f>'Line - 1'!T10+'Line - 2'!T10</f>
        <v>0</v>
      </c>
      <c r="U10" s="42">
        <f>'Line - 1'!U10+'Line - 2'!U10</f>
        <v>0</v>
      </c>
      <c r="V10" s="42">
        <f>'Line - 1'!V10+'Line - 2'!V10</f>
        <v>0</v>
      </c>
      <c r="W10" s="42">
        <f>'Line - 1'!W10+'Line - 2'!W10</f>
        <v>0</v>
      </c>
      <c r="X10" s="42">
        <f>'Line - 1'!X10+'Line - 2'!X10</f>
        <v>0</v>
      </c>
      <c r="Y10" s="42">
        <f>'Line - 1'!Y10+'Line - 2'!Y10</f>
        <v>0</v>
      </c>
      <c r="Z10" s="42">
        <f>'Line - 1'!Z10+'Line - 2'!Z10</f>
        <v>0</v>
      </c>
      <c r="AA10" s="42">
        <f>'Line - 1'!AA10+'Line - 2'!AA10</f>
        <v>0</v>
      </c>
      <c r="AB10" s="42">
        <f>'Line - 1'!AB10+'Line - 2'!AB10</f>
        <v>0</v>
      </c>
      <c r="AC10" s="42">
        <f>'Line - 1'!AC10+'Line - 2'!AC10</f>
        <v>0</v>
      </c>
      <c r="AD10" s="42">
        <f>'Line - 1'!AD10+'Line - 2'!AD10</f>
        <v>0</v>
      </c>
      <c r="AE10" s="42">
        <f>'Line - 1'!AE10+'Line - 2'!AE10</f>
        <v>0</v>
      </c>
      <c r="AF10" s="42">
        <f>'Line - 1'!AF10+'Line - 2'!AF10</f>
        <v>0</v>
      </c>
      <c r="AG10" s="30">
        <f t="shared" si="8"/>
        <v>0</v>
      </c>
    </row>
    <row r="11" spans="2:33" ht="15" customHeight="1">
      <c r="B11" s="11" t="s">
        <v>10</v>
      </c>
      <c r="C11" s="42">
        <f>'Line - 1'!C11+'Line - 2'!C11</f>
        <v>42</v>
      </c>
      <c r="D11" s="42">
        <f>'Line - 1'!D11+'Line - 2'!D11</f>
        <v>47</v>
      </c>
      <c r="E11" s="42">
        <f>'Line - 1'!E11+'Line - 2'!E11</f>
        <v>37</v>
      </c>
      <c r="F11" s="42">
        <f>'Line - 1'!F11+'Line - 2'!F11</f>
        <v>37</v>
      </c>
      <c r="G11" s="42">
        <f>'Line - 1'!G11+'Line - 2'!G11</f>
        <v>33</v>
      </c>
      <c r="H11" s="42">
        <f>'Line - 1'!H11+'Line - 2'!H11</f>
        <v>47</v>
      </c>
      <c r="I11" s="42">
        <f>'Line - 1'!I11+'Line - 2'!I11</f>
        <v>56</v>
      </c>
      <c r="J11" s="42">
        <f>'Line - 1'!J11+'Line - 2'!J11</f>
        <v>51</v>
      </c>
      <c r="K11" s="42">
        <f>'Line - 1'!K11+'Line - 2'!K11</f>
        <v>51</v>
      </c>
      <c r="L11" s="42">
        <f>'Line - 1'!L11+'Line - 2'!L11</f>
        <v>51</v>
      </c>
      <c r="M11" s="42">
        <f>'Line - 1'!M11+'Line - 2'!M11</f>
        <v>39</v>
      </c>
      <c r="N11" s="42">
        <f>'Line - 1'!N11+'Line - 2'!N11</f>
        <v>38</v>
      </c>
      <c r="O11" s="42">
        <f>'Line - 1'!O11+'Line - 2'!O11</f>
        <v>42</v>
      </c>
      <c r="P11" s="42">
        <f>'Line - 1'!P11+'Line - 2'!P11</f>
        <v>33</v>
      </c>
      <c r="Q11" s="42">
        <f>'Line - 1'!Q11+'Line - 2'!Q11</f>
        <v>49</v>
      </c>
      <c r="R11" s="42">
        <f>'Line - 1'!R11+'Line - 2'!R11</f>
        <v>56</v>
      </c>
      <c r="S11" s="42">
        <f>'Line - 1'!S11+'Line - 2'!S11</f>
        <v>0</v>
      </c>
      <c r="T11" s="42">
        <f>'Line - 1'!T11+'Line - 2'!T11</f>
        <v>36</v>
      </c>
      <c r="U11" s="42">
        <f>'Line - 1'!U11+'Line - 2'!U11</f>
        <v>38</v>
      </c>
      <c r="V11" s="42">
        <f>'Line - 1'!V11+'Line - 2'!V11</f>
        <v>42</v>
      </c>
      <c r="W11" s="42">
        <f>'Line - 1'!W11+'Line - 2'!W11</f>
        <v>30</v>
      </c>
      <c r="X11" s="42">
        <f>'Line - 1'!X11+'Line - 2'!X11</f>
        <v>46</v>
      </c>
      <c r="Y11" s="42">
        <f>'Line - 1'!Y11+'Line - 2'!Y11</f>
        <v>0</v>
      </c>
      <c r="Z11" s="42">
        <f>'Line - 1'!Z11+'Line - 2'!Z11</f>
        <v>0</v>
      </c>
      <c r="AA11" s="42">
        <f>'Line - 1'!AA11+'Line - 2'!AA11</f>
        <v>0</v>
      </c>
      <c r="AB11" s="42">
        <f>'Line - 1'!AB11+'Line - 2'!AB11</f>
        <v>0</v>
      </c>
      <c r="AC11" s="42">
        <f>'Line - 1'!AC11+'Line - 2'!AC11</f>
        <v>0</v>
      </c>
      <c r="AD11" s="42">
        <f>'Line - 1'!AD11+'Line - 2'!AD11</f>
        <v>0</v>
      </c>
      <c r="AE11" s="42">
        <f>'Line - 1'!AE11+'Line - 2'!AE11</f>
        <v>0</v>
      </c>
      <c r="AF11" s="42">
        <f>'Line - 1'!AF11+'Line - 2'!AF11</f>
        <v>0</v>
      </c>
      <c r="AG11" s="30">
        <f t="shared" si="8"/>
        <v>901</v>
      </c>
    </row>
    <row r="12" spans="2:33" ht="15" customHeight="1">
      <c r="B12" s="11" t="s">
        <v>11</v>
      </c>
      <c r="C12" s="42">
        <f>'Line - 1'!C12+'Line - 2'!C12</f>
        <v>18</v>
      </c>
      <c r="D12" s="42">
        <f>'Line - 1'!D12+'Line - 2'!D12</f>
        <v>13</v>
      </c>
      <c r="E12" s="42">
        <f>'Line - 1'!E12+'Line - 2'!E12</f>
        <v>11</v>
      </c>
      <c r="F12" s="42">
        <f>'Line - 1'!F12+'Line - 2'!F12</f>
        <v>7</v>
      </c>
      <c r="G12" s="42">
        <f>'Line - 1'!G12+'Line - 2'!G12</f>
        <v>16</v>
      </c>
      <c r="H12" s="42">
        <f>'Line - 1'!H12+'Line - 2'!H12</f>
        <v>9</v>
      </c>
      <c r="I12" s="42">
        <f>'Line - 1'!I12+'Line - 2'!I12</f>
        <v>20</v>
      </c>
      <c r="J12" s="42">
        <f>'Line - 1'!J12+'Line - 2'!J12</f>
        <v>34</v>
      </c>
      <c r="K12" s="42">
        <f>'Line - 1'!K12+'Line - 2'!K12</f>
        <v>22</v>
      </c>
      <c r="L12" s="42">
        <f>'Line - 1'!L12+'Line - 2'!L12</f>
        <v>12</v>
      </c>
      <c r="M12" s="42">
        <f>'Line - 1'!M12+'Line - 2'!M12</f>
        <v>15</v>
      </c>
      <c r="N12" s="42">
        <f>'Line - 1'!N12+'Line - 2'!N12</f>
        <v>17</v>
      </c>
      <c r="O12" s="42">
        <f>'Line - 1'!O12+'Line - 2'!O12</f>
        <v>22</v>
      </c>
      <c r="P12" s="42">
        <f>'Line - 1'!P12+'Line - 2'!P12</f>
        <v>28</v>
      </c>
      <c r="Q12" s="42">
        <f>'Line - 1'!Q12+'Line - 2'!Q12</f>
        <v>14</v>
      </c>
      <c r="R12" s="42">
        <f>'Line - 1'!R12+'Line - 2'!R12</f>
        <v>18</v>
      </c>
      <c r="S12" s="42">
        <f>'Line - 1'!S12+'Line - 2'!S12</f>
        <v>0</v>
      </c>
      <c r="T12" s="42">
        <f>'Line - 1'!T12+'Line - 2'!T12</f>
        <v>13</v>
      </c>
      <c r="U12" s="42">
        <f>'Line - 1'!U12+'Line - 2'!U12</f>
        <v>25</v>
      </c>
      <c r="V12" s="42">
        <f>'Line - 1'!V12+'Line - 2'!V12</f>
        <v>18</v>
      </c>
      <c r="W12" s="42">
        <f>'Line - 1'!W12+'Line - 2'!W12</f>
        <v>12</v>
      </c>
      <c r="X12" s="42">
        <f>'Line - 1'!X12+'Line - 2'!X12</f>
        <v>15</v>
      </c>
      <c r="Y12" s="42">
        <f>'Line - 1'!Y12+'Line - 2'!Y12</f>
        <v>0</v>
      </c>
      <c r="Z12" s="42">
        <f>'Line - 1'!Z12+'Line - 2'!Z12</f>
        <v>0</v>
      </c>
      <c r="AA12" s="42">
        <f>'Line - 1'!AA12+'Line - 2'!AA12</f>
        <v>0</v>
      </c>
      <c r="AB12" s="42">
        <f>'Line - 1'!AB12+'Line - 2'!AB12</f>
        <v>0</v>
      </c>
      <c r="AC12" s="42">
        <f>'Line - 1'!AC12+'Line - 2'!AC12</f>
        <v>0</v>
      </c>
      <c r="AD12" s="42">
        <f>'Line - 1'!AD12+'Line - 2'!AD12</f>
        <v>0</v>
      </c>
      <c r="AE12" s="42">
        <f>'Line - 1'!AE12+'Line - 2'!AE12</f>
        <v>0</v>
      </c>
      <c r="AF12" s="42">
        <f>'Line - 1'!AF12+'Line - 2'!AF12</f>
        <v>0</v>
      </c>
      <c r="AG12" s="30">
        <f t="shared" si="8"/>
        <v>359</v>
      </c>
    </row>
    <row r="13" spans="2:33" ht="15" customHeight="1">
      <c r="B13" s="11" t="s">
        <v>12</v>
      </c>
      <c r="C13" s="42">
        <f>'Line - 1'!C13+'Line - 2'!C13</f>
        <v>41</v>
      </c>
      <c r="D13" s="42">
        <f>'Line - 1'!D13+'Line - 2'!D13</f>
        <v>59</v>
      </c>
      <c r="E13" s="42">
        <f>'Line - 1'!E13+'Line - 2'!E13</f>
        <v>40</v>
      </c>
      <c r="F13" s="42">
        <f>'Line - 1'!F13+'Line - 2'!F13</f>
        <v>50</v>
      </c>
      <c r="G13" s="42">
        <f>'Line - 1'!G13+'Line - 2'!G13</f>
        <v>46</v>
      </c>
      <c r="H13" s="42">
        <f>'Line - 1'!H13+'Line - 2'!H13</f>
        <v>59</v>
      </c>
      <c r="I13" s="42">
        <f>'Line - 1'!I13+'Line - 2'!I13</f>
        <v>65</v>
      </c>
      <c r="J13" s="42">
        <f>'Line - 1'!J13+'Line - 2'!J13</f>
        <v>65</v>
      </c>
      <c r="K13" s="42">
        <f>'Line - 1'!K13+'Line - 2'!K13</f>
        <v>65</v>
      </c>
      <c r="L13" s="42">
        <f>'Line - 1'!L13+'Line - 2'!L13</f>
        <v>58</v>
      </c>
      <c r="M13" s="42">
        <f>'Line - 1'!M13+'Line - 2'!M13</f>
        <v>68</v>
      </c>
      <c r="N13" s="42">
        <f>'Line - 1'!N13+'Line - 2'!N13</f>
        <v>57</v>
      </c>
      <c r="O13" s="42">
        <f>'Line - 1'!O13+'Line - 2'!O13</f>
        <v>49</v>
      </c>
      <c r="P13" s="42">
        <f>'Line - 1'!P13+'Line - 2'!P13</f>
        <v>47</v>
      </c>
      <c r="Q13" s="42">
        <f>'Line - 1'!Q13+'Line - 2'!Q13</f>
        <v>59</v>
      </c>
      <c r="R13" s="42">
        <f>'Line - 1'!R13+'Line - 2'!R13</f>
        <v>61</v>
      </c>
      <c r="S13" s="42">
        <f>'Line - 1'!S13+'Line - 2'!S13</f>
        <v>0</v>
      </c>
      <c r="T13" s="42">
        <f>'Line - 1'!T13+'Line - 2'!T13</f>
        <v>54</v>
      </c>
      <c r="U13" s="42">
        <f>'Line - 1'!U13+'Line - 2'!U13</f>
        <v>36</v>
      </c>
      <c r="V13" s="42">
        <f>'Line - 1'!V13+'Line - 2'!V13</f>
        <v>27</v>
      </c>
      <c r="W13" s="42">
        <f>'Line - 1'!W13+'Line - 2'!W13</f>
        <v>38</v>
      </c>
      <c r="X13" s="42">
        <f>'Line - 1'!X13+'Line - 2'!X13</f>
        <v>42</v>
      </c>
      <c r="Y13" s="42">
        <f>'Line - 1'!Y13+'Line - 2'!Y13</f>
        <v>0</v>
      </c>
      <c r="Z13" s="42">
        <f>'Line - 1'!Z13+'Line - 2'!Z13</f>
        <v>0</v>
      </c>
      <c r="AA13" s="42">
        <f>'Line - 1'!AA13+'Line - 2'!AA13</f>
        <v>0</v>
      </c>
      <c r="AB13" s="42">
        <f>'Line - 1'!AB13+'Line - 2'!AB13</f>
        <v>0</v>
      </c>
      <c r="AC13" s="42">
        <f>'Line - 1'!AC13+'Line - 2'!AC13</f>
        <v>0</v>
      </c>
      <c r="AD13" s="42">
        <f>'Line - 1'!AD13+'Line - 2'!AD13</f>
        <v>0</v>
      </c>
      <c r="AE13" s="42">
        <f>'Line - 1'!AE13+'Line - 2'!AE13</f>
        <v>0</v>
      </c>
      <c r="AF13" s="42">
        <f>'Line - 1'!AF13+'Line - 2'!AF13</f>
        <v>0</v>
      </c>
      <c r="AG13" s="30">
        <f t="shared" si="8"/>
        <v>1086</v>
      </c>
    </row>
    <row r="14" spans="2:33" ht="15" customHeight="1">
      <c r="B14" s="11" t="s">
        <v>13</v>
      </c>
      <c r="C14" s="42">
        <f>'Line - 1'!C14+'Line - 2'!C14</f>
        <v>2</v>
      </c>
      <c r="D14" s="42">
        <f>'Line - 1'!D14+'Line - 2'!D14</f>
        <v>1</v>
      </c>
      <c r="E14" s="42">
        <f>'Line - 1'!E14+'Line - 2'!E14</f>
        <v>2</v>
      </c>
      <c r="F14" s="42">
        <f>'Line - 1'!F14+'Line - 2'!F14</f>
        <v>1</v>
      </c>
      <c r="G14" s="42">
        <f>'Line - 1'!G14+'Line - 2'!G14</f>
        <v>1</v>
      </c>
      <c r="H14" s="42">
        <f>'Line - 1'!H14+'Line - 2'!H14</f>
        <v>4</v>
      </c>
      <c r="I14" s="42">
        <f>'Line - 1'!I14+'Line - 2'!I14</f>
        <v>3</v>
      </c>
      <c r="J14" s="42">
        <f>'Line - 1'!J14+'Line - 2'!J14</f>
        <v>4</v>
      </c>
      <c r="K14" s="42">
        <f>'Line - 1'!K14+'Line - 2'!K14</f>
        <v>2</v>
      </c>
      <c r="L14" s="42">
        <f>'Line - 1'!L14+'Line - 2'!L14</f>
        <v>2</v>
      </c>
      <c r="M14" s="42">
        <f>'Line - 1'!M14+'Line - 2'!M14</f>
        <v>2</v>
      </c>
      <c r="N14" s="42">
        <f>'Line - 1'!N14+'Line - 2'!N14</f>
        <v>3</v>
      </c>
      <c r="O14" s="42">
        <f>'Line - 1'!O14+'Line - 2'!O14</f>
        <v>1</v>
      </c>
      <c r="P14" s="42">
        <f>'Line - 1'!P14+'Line - 2'!P14</f>
        <v>2</v>
      </c>
      <c r="Q14" s="42">
        <f>'Line - 1'!Q14+'Line - 2'!Q14</f>
        <v>2</v>
      </c>
      <c r="R14" s="42">
        <f>'Line - 1'!R14+'Line - 2'!R14</f>
        <v>3</v>
      </c>
      <c r="S14" s="42">
        <f>'Line - 1'!S14+'Line - 2'!S14</f>
        <v>0</v>
      </c>
      <c r="T14" s="42">
        <f>'Line - 1'!T14+'Line - 2'!T14</f>
        <v>10</v>
      </c>
      <c r="U14" s="42">
        <f>'Line - 1'!U14+'Line - 2'!U14</f>
        <v>2</v>
      </c>
      <c r="V14" s="42">
        <f>'Line - 1'!V14+'Line - 2'!V14</f>
        <v>2</v>
      </c>
      <c r="W14" s="42">
        <f>'Line - 1'!W14+'Line - 2'!W14</f>
        <v>6</v>
      </c>
      <c r="X14" s="42">
        <f>'Line - 1'!X14+'Line - 2'!X14</f>
        <v>2</v>
      </c>
      <c r="Y14" s="42">
        <f>'Line - 1'!Y14+'Line - 2'!Y14</f>
        <v>0</v>
      </c>
      <c r="Z14" s="42">
        <f>'Line - 1'!Z14+'Line - 2'!Z14</f>
        <v>0</v>
      </c>
      <c r="AA14" s="42">
        <f>'Line - 1'!AA14+'Line - 2'!AA14</f>
        <v>0</v>
      </c>
      <c r="AB14" s="42">
        <f>'Line - 1'!AB14+'Line - 2'!AB14</f>
        <v>0</v>
      </c>
      <c r="AC14" s="42">
        <f>'Line - 1'!AC14+'Line - 2'!AC14</f>
        <v>0</v>
      </c>
      <c r="AD14" s="42">
        <f>'Line - 1'!AD14+'Line - 2'!AD14</f>
        <v>0</v>
      </c>
      <c r="AE14" s="42">
        <f>'Line - 1'!AE14+'Line - 2'!AE14</f>
        <v>0</v>
      </c>
      <c r="AF14" s="42">
        <f>'Line - 1'!AF14+'Line - 2'!AF14</f>
        <v>0</v>
      </c>
      <c r="AG14" s="30">
        <f t="shared" si="8"/>
        <v>57</v>
      </c>
    </row>
    <row r="15" spans="2:33" ht="15" customHeight="1">
      <c r="B15" s="15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2:33" ht="15" customHeight="1">
      <c r="B16" s="46" t="s">
        <v>14</v>
      </c>
      <c r="C16" s="47"/>
      <c r="D16" s="4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f>'Line - 1'!C18+'Line - 2'!C18</f>
        <v>4898</v>
      </c>
      <c r="D18" s="12">
        <f>'Line - 1'!D18+'Line - 2'!D18</f>
        <v>4821</v>
      </c>
      <c r="E18" s="12">
        <f>'Line - 1'!E18+'Line - 2'!E18</f>
        <v>5026</v>
      </c>
      <c r="F18" s="12">
        <f>'Line - 1'!F18+'Line - 2'!F18</f>
        <v>5017</v>
      </c>
      <c r="G18" s="12">
        <f>'Line - 1'!G18+'Line - 2'!G18</f>
        <v>4990</v>
      </c>
      <c r="H18" s="12">
        <f>'Line - 1'!H18+'Line - 2'!H18</f>
        <v>5005</v>
      </c>
      <c r="I18" s="12">
        <f>'Line - 1'!I18+'Line - 2'!I18</f>
        <v>5067</v>
      </c>
      <c r="J18" s="12">
        <f>'Line - 1'!J18+'Line - 2'!J18</f>
        <v>5222</v>
      </c>
      <c r="K18" s="12">
        <f>'Line - 1'!K18+'Line - 2'!K18</f>
        <v>5097</v>
      </c>
      <c r="L18" s="12">
        <f>'Line - 1'!L18+'Line - 2'!L18</f>
        <v>4440</v>
      </c>
      <c r="M18" s="12">
        <f>'Line - 1'!M18+'Line - 2'!M18</f>
        <v>5020</v>
      </c>
      <c r="N18" s="12">
        <f>'Line - 1'!N18+'Line - 2'!N18</f>
        <v>5196</v>
      </c>
      <c r="O18" s="12">
        <f>'Line - 1'!O18+'Line - 2'!O18</f>
        <v>5464</v>
      </c>
      <c r="P18" s="12">
        <f>'Line - 1'!P18+'Line - 2'!P18</f>
        <v>5353</v>
      </c>
      <c r="Q18" s="12">
        <f>'Line - 1'!Q18+'Line - 2'!Q18</f>
        <v>5427</v>
      </c>
      <c r="R18" s="12">
        <f>'Line - 1'!R18+'Line - 2'!R18</f>
        <v>4640</v>
      </c>
      <c r="S18" s="12">
        <f>'Line - 1'!S18+'Line - 2'!S18</f>
        <v>0</v>
      </c>
      <c r="T18" s="12">
        <f>'Line - 1'!T18+'Line - 2'!T18</f>
        <v>4748</v>
      </c>
      <c r="U18" s="12">
        <f>'Line - 1'!U18+'Line - 2'!U18</f>
        <v>5030</v>
      </c>
      <c r="V18" s="12">
        <f>'Line - 1'!V18+'Line - 2'!V18</f>
        <v>5188</v>
      </c>
      <c r="W18" s="12">
        <f>'Line - 1'!W18+'Line - 2'!W18</f>
        <v>5361</v>
      </c>
      <c r="X18" s="12">
        <f>'Line - 1'!X18+'Line - 2'!X18</f>
        <v>5194</v>
      </c>
      <c r="Y18" s="12">
        <f>'Line - 1'!Y18+'Line - 2'!Y18</f>
        <v>0</v>
      </c>
      <c r="Z18" s="12">
        <f>'Line - 1'!Z18+'Line - 2'!Z18</f>
        <v>0</v>
      </c>
      <c r="AA18" s="12">
        <f>'Line - 1'!AA18+'Line - 2'!AA18</f>
        <v>0</v>
      </c>
      <c r="AB18" s="12">
        <f>'Line - 1'!AB18+'Line - 2'!AB18</f>
        <v>0</v>
      </c>
      <c r="AC18" s="12">
        <f>'Line - 1'!AC18+'Line - 2'!AC18</f>
        <v>0</v>
      </c>
      <c r="AD18" s="12">
        <f>'Line - 1'!AD18+'Line - 2'!AD18</f>
        <v>0</v>
      </c>
      <c r="AE18" s="12">
        <f>'Line - 1'!AE18+'Line - 2'!AE18</f>
        <v>0</v>
      </c>
      <c r="AF18" s="12">
        <f>'Line - 1'!AF18+'Line - 2'!AF18</f>
        <v>0</v>
      </c>
      <c r="AG18" s="30">
        <f>SUM(C18:AF18)</f>
        <v>106204</v>
      </c>
    </row>
    <row r="19" spans="1:33" ht="15" customHeight="1">
      <c r="B19" s="11" t="s">
        <v>4</v>
      </c>
      <c r="C19" s="12">
        <f t="shared" ref="C19:N19" si="9">SUM(C21:C33)</f>
        <v>189</v>
      </c>
      <c r="D19" s="12">
        <f t="shared" si="9"/>
        <v>209</v>
      </c>
      <c r="E19" s="12">
        <f t="shared" si="9"/>
        <v>259</v>
      </c>
      <c r="F19" s="12">
        <f t="shared" si="9"/>
        <v>242</v>
      </c>
      <c r="G19" s="12">
        <f t="shared" si="9"/>
        <v>261</v>
      </c>
      <c r="H19" s="12">
        <f t="shared" si="9"/>
        <v>227</v>
      </c>
      <c r="I19" s="12">
        <f t="shared" si="9"/>
        <v>248</v>
      </c>
      <c r="J19" s="12">
        <f t="shared" si="9"/>
        <v>242</v>
      </c>
      <c r="K19" s="12">
        <f t="shared" si="9"/>
        <v>189</v>
      </c>
      <c r="L19" s="12">
        <f t="shared" si="9"/>
        <v>157</v>
      </c>
      <c r="M19" s="12">
        <f t="shared" si="9"/>
        <v>175</v>
      </c>
      <c r="N19" s="12">
        <f t="shared" si="9"/>
        <v>186</v>
      </c>
      <c r="O19" s="12">
        <f t="shared" ref="O19:P19" si="10">SUM(O21:O33)</f>
        <v>156</v>
      </c>
      <c r="P19" s="12">
        <f t="shared" si="10"/>
        <v>147</v>
      </c>
      <c r="Q19" s="12">
        <f t="shared" ref="Q19:R19" si="11">SUM(Q21:Q33)</f>
        <v>175</v>
      </c>
      <c r="R19" s="12">
        <f t="shared" si="11"/>
        <v>147</v>
      </c>
      <c r="S19" s="12">
        <f t="shared" ref="S19:AG19" si="12">SUM(S21:S33)</f>
        <v>0</v>
      </c>
      <c r="T19" s="12">
        <f t="shared" si="12"/>
        <v>156</v>
      </c>
      <c r="U19" s="12">
        <f t="shared" si="12"/>
        <v>194</v>
      </c>
      <c r="V19" s="12">
        <f t="shared" si="12"/>
        <v>188</v>
      </c>
      <c r="W19" s="12">
        <f t="shared" si="12"/>
        <v>167</v>
      </c>
      <c r="X19" s="12">
        <f t="shared" si="12"/>
        <v>172</v>
      </c>
      <c r="Y19" s="12">
        <f t="shared" si="12"/>
        <v>0</v>
      </c>
      <c r="Z19" s="12">
        <f t="shared" si="12"/>
        <v>0</v>
      </c>
      <c r="AA19" s="12">
        <f t="shared" si="12"/>
        <v>0</v>
      </c>
      <c r="AB19" s="12">
        <f t="shared" si="12"/>
        <v>0</v>
      </c>
      <c r="AC19" s="12">
        <f t="shared" si="12"/>
        <v>0</v>
      </c>
      <c r="AD19" s="12">
        <f t="shared" si="12"/>
        <v>0</v>
      </c>
      <c r="AE19" s="12">
        <f t="shared" si="12"/>
        <v>0</v>
      </c>
      <c r="AF19" s="12">
        <f t="shared" si="12"/>
        <v>0</v>
      </c>
      <c r="AG19" s="12">
        <f t="shared" si="12"/>
        <v>4086</v>
      </c>
    </row>
    <row r="20" spans="1:33" s="6" customFormat="1" ht="15" customHeight="1">
      <c r="A20" s="6" t="s">
        <v>15</v>
      </c>
      <c r="B20" s="13" t="s">
        <v>5</v>
      </c>
      <c r="C20" s="14">
        <f>IF(C18=0,0,(C19/C18))</f>
        <v>3.8587178440179663E-2</v>
      </c>
      <c r="D20" s="14">
        <f>IF(D18=0,0,(D19/D18))</f>
        <v>4.3352001659406759E-2</v>
      </c>
      <c r="E20" s="14">
        <f t="shared" ref="E20:N20" si="13">IF(E18=0,0,(E19/E18))</f>
        <v>5.1532033426183843E-2</v>
      </c>
      <c r="F20" s="14">
        <f t="shared" si="13"/>
        <v>4.8235997608132353E-2</v>
      </c>
      <c r="G20" s="14">
        <f t="shared" si="13"/>
        <v>5.2304609218436875E-2</v>
      </c>
      <c r="H20" s="14">
        <f t="shared" si="13"/>
        <v>4.5354645354645354E-2</v>
      </c>
      <c r="I20" s="14">
        <f t="shared" si="13"/>
        <v>4.8944148411288732E-2</v>
      </c>
      <c r="J20" s="14">
        <f t="shared" si="13"/>
        <v>4.6342397548831862E-2</v>
      </c>
      <c r="K20" s="14">
        <f t="shared" si="13"/>
        <v>3.7080635668040027E-2</v>
      </c>
      <c r="L20" s="14">
        <f t="shared" si="13"/>
        <v>3.536036036036036E-2</v>
      </c>
      <c r="M20" s="14">
        <f t="shared" si="13"/>
        <v>3.48605577689243E-2</v>
      </c>
      <c r="N20" s="14">
        <f t="shared" si="13"/>
        <v>3.5796766743648963E-2</v>
      </c>
      <c r="O20" s="14">
        <f t="shared" ref="O20:P20" si="14">IF(O18=0,0,(O19/O18))</f>
        <v>2.8550512445095169E-2</v>
      </c>
      <c r="P20" s="14">
        <f t="shared" si="14"/>
        <v>2.7461236689706705E-2</v>
      </c>
      <c r="Q20" s="14">
        <f t="shared" ref="Q20:R20" si="15">IF(Q18=0,0,(Q19/Q18))</f>
        <v>3.2246176524783489E-2</v>
      </c>
      <c r="R20" s="14">
        <f t="shared" si="15"/>
        <v>3.1681034482758622E-2</v>
      </c>
      <c r="S20" s="14">
        <f t="shared" ref="S20:AG20" si="16">IF(S18=0,0,(S19/S18))</f>
        <v>0</v>
      </c>
      <c r="T20" s="14">
        <f t="shared" si="16"/>
        <v>3.285593934288121E-2</v>
      </c>
      <c r="U20" s="14">
        <f t="shared" si="16"/>
        <v>3.8568588469184893E-2</v>
      </c>
      <c r="V20" s="14">
        <f t="shared" si="16"/>
        <v>3.6237471087124135E-2</v>
      </c>
      <c r="W20" s="14">
        <f t="shared" si="16"/>
        <v>3.115090468196232E-2</v>
      </c>
      <c r="X20" s="14">
        <f t="shared" si="16"/>
        <v>3.3115132845591068E-2</v>
      </c>
      <c r="Y20" s="14">
        <f t="shared" si="16"/>
        <v>0</v>
      </c>
      <c r="Z20" s="14">
        <f t="shared" si="16"/>
        <v>0</v>
      </c>
      <c r="AA20" s="14">
        <f t="shared" si="16"/>
        <v>0</v>
      </c>
      <c r="AB20" s="14">
        <f t="shared" si="16"/>
        <v>0</v>
      </c>
      <c r="AC20" s="14">
        <f t="shared" si="16"/>
        <v>0</v>
      </c>
      <c r="AD20" s="14">
        <f t="shared" si="16"/>
        <v>0</v>
      </c>
      <c r="AE20" s="14">
        <f t="shared" si="16"/>
        <v>0</v>
      </c>
      <c r="AF20" s="14">
        <f t="shared" si="16"/>
        <v>0</v>
      </c>
      <c r="AG20" s="14">
        <f t="shared" si="16"/>
        <v>3.8473127189183082E-2</v>
      </c>
    </row>
    <row r="21" spans="1:33" ht="15" customHeight="1">
      <c r="B21" s="11" t="s">
        <v>16</v>
      </c>
      <c r="C21" s="42">
        <f>'Line - 1'!C21+'Line - 2'!C21</f>
        <v>5</v>
      </c>
      <c r="D21" s="42">
        <f>'Line - 1'!D21+'Line - 2'!D21</f>
        <v>0</v>
      </c>
      <c r="E21" s="42">
        <f>'Line - 1'!E21+'Line - 2'!E21</f>
        <v>1</v>
      </c>
      <c r="F21" s="42">
        <f>'Line - 1'!F21+'Line - 2'!F21</f>
        <v>0</v>
      </c>
      <c r="G21" s="42">
        <f>'Line - 1'!G21+'Line - 2'!G21</f>
        <v>3</v>
      </c>
      <c r="H21" s="42">
        <f>'Line - 1'!H21+'Line - 2'!H21</f>
        <v>2</v>
      </c>
      <c r="I21" s="42">
        <f>'Line - 1'!I21+'Line - 2'!I21</f>
        <v>1</v>
      </c>
      <c r="J21" s="42">
        <f>'Line - 1'!J21+'Line - 2'!J21</f>
        <v>9</v>
      </c>
      <c r="K21" s="42">
        <f>'Line - 1'!K21+'Line - 2'!K21</f>
        <v>0</v>
      </c>
      <c r="L21" s="42">
        <f>'Line - 1'!L21+'Line - 2'!L21</f>
        <v>0</v>
      </c>
      <c r="M21" s="42">
        <f>'Line - 1'!M21+'Line - 2'!M21</f>
        <v>1</v>
      </c>
      <c r="N21" s="42">
        <f>'Line - 1'!N21+'Line - 2'!N21</f>
        <v>1</v>
      </c>
      <c r="O21" s="42">
        <f>'Line - 1'!O21+'Line - 2'!O21</f>
        <v>4</v>
      </c>
      <c r="P21" s="42">
        <f>'Line - 1'!P21+'Line - 2'!P21</f>
        <v>0</v>
      </c>
      <c r="Q21" s="42">
        <f>'Line - 1'!Q21+'Line - 2'!Q21</f>
        <v>4</v>
      </c>
      <c r="R21" s="42">
        <f>'Line - 1'!R21+'Line - 2'!R21</f>
        <v>0</v>
      </c>
      <c r="S21" s="42">
        <f>'Line - 1'!S21+'Line - 2'!S21</f>
        <v>0</v>
      </c>
      <c r="T21" s="42">
        <f>'Line - 1'!T21+'Line - 2'!T21</f>
        <v>2</v>
      </c>
      <c r="U21" s="42">
        <f>'Line - 1'!U21+'Line - 2'!U21</f>
        <v>0</v>
      </c>
      <c r="V21" s="42">
        <f>'Line - 1'!V21+'Line - 2'!V21</f>
        <v>1</v>
      </c>
      <c r="W21" s="42">
        <f>'Line - 1'!W21+'Line - 2'!W21</f>
        <v>0</v>
      </c>
      <c r="X21" s="42">
        <f>'Line - 1'!X21+'Line - 2'!X21</f>
        <v>5</v>
      </c>
      <c r="Y21" s="42">
        <f>'Line - 1'!Y21+'Line - 2'!Y21</f>
        <v>0</v>
      </c>
      <c r="Z21" s="42">
        <f>'Line - 1'!Z21+'Line - 2'!Z21</f>
        <v>0</v>
      </c>
      <c r="AA21" s="42">
        <f>'Line - 1'!AA21+'Line - 2'!AA21</f>
        <v>0</v>
      </c>
      <c r="AB21" s="42">
        <f>'Line - 1'!AB21+'Line - 2'!AB21</f>
        <v>0</v>
      </c>
      <c r="AC21" s="42">
        <f>'Line - 1'!AC21+'Line - 2'!AC21</f>
        <v>0</v>
      </c>
      <c r="AD21" s="42">
        <f>'Line - 1'!AD21+'Line - 2'!AD21</f>
        <v>0</v>
      </c>
      <c r="AE21" s="42">
        <f>'Line - 1'!AE21+'Line - 2'!AE21</f>
        <v>0</v>
      </c>
      <c r="AF21" s="42">
        <f>'Line - 1'!AF21+'Line - 2'!AF21</f>
        <v>0</v>
      </c>
      <c r="AG21" s="30">
        <f t="shared" ref="AG21:AG33" si="17">+SUM(C21:AF21)</f>
        <v>39</v>
      </c>
    </row>
    <row r="22" spans="1:33" ht="15" customHeight="1">
      <c r="B22" s="9" t="s">
        <v>17</v>
      </c>
      <c r="C22" s="42">
        <f>'Line - 1'!C22+'Line - 2'!C22</f>
        <v>11</v>
      </c>
      <c r="D22" s="42">
        <f>'Line - 1'!D22+'Line - 2'!D22</f>
        <v>8</v>
      </c>
      <c r="E22" s="42">
        <f>'Line - 1'!E22+'Line - 2'!E22</f>
        <v>17</v>
      </c>
      <c r="F22" s="42">
        <f>'Line - 1'!F22+'Line - 2'!F22</f>
        <v>32</v>
      </c>
      <c r="G22" s="42">
        <f>'Line - 1'!G22+'Line - 2'!G22</f>
        <v>13</v>
      </c>
      <c r="H22" s="42">
        <f>'Line - 1'!H22+'Line - 2'!H22</f>
        <v>12</v>
      </c>
      <c r="I22" s="42">
        <f>'Line - 1'!I22+'Line - 2'!I22</f>
        <v>3</v>
      </c>
      <c r="J22" s="42">
        <f>'Line - 1'!J22+'Line - 2'!J22</f>
        <v>5</v>
      </c>
      <c r="K22" s="42">
        <f>'Line - 1'!K22+'Line - 2'!K22</f>
        <v>26</v>
      </c>
      <c r="L22" s="42">
        <f>'Line - 1'!L22+'Line - 2'!L22</f>
        <v>10</v>
      </c>
      <c r="M22" s="42">
        <f>'Line - 1'!M22+'Line - 2'!M22</f>
        <v>26</v>
      </c>
      <c r="N22" s="42">
        <f>'Line - 1'!N22+'Line - 2'!N22</f>
        <v>28</v>
      </c>
      <c r="O22" s="42">
        <f>'Line - 1'!O22+'Line - 2'!O22</f>
        <v>7</v>
      </c>
      <c r="P22" s="42">
        <f>'Line - 1'!P22+'Line - 2'!P22</f>
        <v>14</v>
      </c>
      <c r="Q22" s="42">
        <f>'Line - 1'!Q22+'Line - 2'!Q22</f>
        <v>9</v>
      </c>
      <c r="R22" s="42">
        <f>'Line - 1'!R22+'Line - 2'!R22</f>
        <v>8</v>
      </c>
      <c r="S22" s="42">
        <f>'Line - 1'!S22+'Line - 2'!S22</f>
        <v>0</v>
      </c>
      <c r="T22" s="42">
        <f>'Line - 1'!T22+'Line - 2'!T22</f>
        <v>9</v>
      </c>
      <c r="U22" s="42">
        <f>'Line - 1'!U22+'Line - 2'!U22</f>
        <v>11</v>
      </c>
      <c r="V22" s="42">
        <f>'Line - 1'!V22+'Line - 2'!V22</f>
        <v>11</v>
      </c>
      <c r="W22" s="42">
        <f>'Line - 1'!W22+'Line - 2'!W22</f>
        <v>16</v>
      </c>
      <c r="X22" s="42">
        <f>'Line - 1'!X22+'Line - 2'!X22</f>
        <v>27</v>
      </c>
      <c r="Y22" s="42">
        <f>'Line - 1'!Y22+'Line - 2'!Y22</f>
        <v>0</v>
      </c>
      <c r="Z22" s="42">
        <f>'Line - 1'!Z22+'Line - 2'!Z22</f>
        <v>0</v>
      </c>
      <c r="AA22" s="42">
        <f>'Line - 1'!AA22+'Line - 2'!AA22</f>
        <v>0</v>
      </c>
      <c r="AB22" s="42">
        <f>'Line - 1'!AB22+'Line - 2'!AB22</f>
        <v>0</v>
      </c>
      <c r="AC22" s="42">
        <f>'Line - 1'!AC22+'Line - 2'!AC22</f>
        <v>0</v>
      </c>
      <c r="AD22" s="42">
        <f>'Line - 1'!AD22+'Line - 2'!AD22</f>
        <v>0</v>
      </c>
      <c r="AE22" s="42">
        <f>'Line - 1'!AE22+'Line - 2'!AE22</f>
        <v>0</v>
      </c>
      <c r="AF22" s="42">
        <f>'Line - 1'!AF22+'Line - 2'!AF22</f>
        <v>0</v>
      </c>
      <c r="AG22" s="30">
        <f t="shared" si="17"/>
        <v>303</v>
      </c>
    </row>
    <row r="23" spans="1:33" ht="15" customHeight="1">
      <c r="B23" s="11" t="s">
        <v>18</v>
      </c>
      <c r="C23" s="42">
        <f>'Line - 1'!C23+'Line - 2'!C23</f>
        <v>1</v>
      </c>
      <c r="D23" s="42">
        <f>'Line - 1'!D23+'Line - 2'!D23</f>
        <v>3</v>
      </c>
      <c r="E23" s="42">
        <f>'Line - 1'!E23+'Line - 2'!E23</f>
        <v>1</v>
      </c>
      <c r="F23" s="42">
        <f>'Line - 1'!F23+'Line - 2'!F23</f>
        <v>3</v>
      </c>
      <c r="G23" s="42">
        <f>'Line - 1'!G23+'Line - 2'!G23</f>
        <v>0</v>
      </c>
      <c r="H23" s="42">
        <f>'Line - 1'!H23+'Line - 2'!H23</f>
        <v>0</v>
      </c>
      <c r="I23" s="42">
        <f>'Line - 1'!I23+'Line - 2'!I23</f>
        <v>3</v>
      </c>
      <c r="J23" s="42">
        <f>'Line - 1'!J23+'Line - 2'!J23</f>
        <v>0</v>
      </c>
      <c r="K23" s="42">
        <f>'Line - 1'!K23+'Line - 2'!K23</f>
        <v>6</v>
      </c>
      <c r="L23" s="42">
        <f>'Line - 1'!L23+'Line - 2'!L23</f>
        <v>6</v>
      </c>
      <c r="M23" s="42">
        <f>'Line - 1'!M23+'Line - 2'!M23</f>
        <v>1</v>
      </c>
      <c r="N23" s="42">
        <f>'Line - 1'!N23+'Line - 2'!N23</f>
        <v>3</v>
      </c>
      <c r="O23" s="42">
        <f>'Line - 1'!O23+'Line - 2'!O23</f>
        <v>2</v>
      </c>
      <c r="P23" s="42">
        <f>'Line - 1'!P23+'Line - 2'!P23</f>
        <v>3</v>
      </c>
      <c r="Q23" s="42">
        <f>'Line - 1'!Q23+'Line - 2'!Q23</f>
        <v>1</v>
      </c>
      <c r="R23" s="42">
        <f>'Line - 1'!R23+'Line - 2'!R23</f>
        <v>4</v>
      </c>
      <c r="S23" s="42">
        <f>'Line - 1'!S23+'Line - 2'!S23</f>
        <v>0</v>
      </c>
      <c r="T23" s="42">
        <f>'Line - 1'!T23+'Line - 2'!T23</f>
        <v>4</v>
      </c>
      <c r="U23" s="42">
        <f>'Line - 1'!U23+'Line - 2'!U23</f>
        <v>6</v>
      </c>
      <c r="V23" s="42">
        <f>'Line - 1'!V23+'Line - 2'!V23</f>
        <v>6</v>
      </c>
      <c r="W23" s="42">
        <f>'Line - 1'!W23+'Line - 2'!W23</f>
        <v>3</v>
      </c>
      <c r="X23" s="42">
        <f>'Line - 1'!X23+'Line - 2'!X23</f>
        <v>4</v>
      </c>
      <c r="Y23" s="42">
        <f>'Line - 1'!Y23+'Line - 2'!Y23</f>
        <v>0</v>
      </c>
      <c r="Z23" s="42">
        <f>'Line - 1'!Z23+'Line - 2'!Z23</f>
        <v>0</v>
      </c>
      <c r="AA23" s="42">
        <f>'Line - 1'!AA23+'Line - 2'!AA23</f>
        <v>0</v>
      </c>
      <c r="AB23" s="42">
        <f>'Line - 1'!AB23+'Line - 2'!AB23</f>
        <v>0</v>
      </c>
      <c r="AC23" s="42">
        <f>'Line - 1'!AC23+'Line - 2'!AC23</f>
        <v>0</v>
      </c>
      <c r="AD23" s="42">
        <f>'Line - 1'!AD23+'Line - 2'!AD23</f>
        <v>0</v>
      </c>
      <c r="AE23" s="42">
        <f>'Line - 1'!AE23+'Line - 2'!AE23</f>
        <v>0</v>
      </c>
      <c r="AF23" s="42">
        <f>'Line - 1'!AF23+'Line - 2'!AF23</f>
        <v>0</v>
      </c>
      <c r="AG23" s="30">
        <f t="shared" si="17"/>
        <v>60</v>
      </c>
    </row>
    <row r="24" spans="1:33" ht="15" customHeight="1">
      <c r="B24" s="9" t="s">
        <v>19</v>
      </c>
      <c r="C24" s="42">
        <f>'Line - 1'!C24+'Line - 2'!C24</f>
        <v>91</v>
      </c>
      <c r="D24" s="42">
        <f>'Line - 1'!D24+'Line - 2'!D24</f>
        <v>126</v>
      </c>
      <c r="E24" s="42">
        <f>'Line - 1'!E24+'Line - 2'!E24</f>
        <v>167</v>
      </c>
      <c r="F24" s="42">
        <f>'Line - 1'!F24+'Line - 2'!F24</f>
        <v>126</v>
      </c>
      <c r="G24" s="42">
        <f>'Line - 1'!G24+'Line - 2'!G24</f>
        <v>153</v>
      </c>
      <c r="H24" s="42">
        <f>'Line - 1'!H24+'Line - 2'!H24</f>
        <v>168</v>
      </c>
      <c r="I24" s="42">
        <f>'Line - 1'!I24+'Line - 2'!I24</f>
        <v>162</v>
      </c>
      <c r="J24" s="42">
        <f>'Line - 1'!J24+'Line - 2'!J24</f>
        <v>145</v>
      </c>
      <c r="K24" s="42">
        <f>'Line - 1'!K24+'Line - 2'!K24</f>
        <v>79</v>
      </c>
      <c r="L24" s="42">
        <f>'Line - 1'!L24+'Line - 2'!L24</f>
        <v>82</v>
      </c>
      <c r="M24" s="42">
        <f>'Line - 1'!M24+'Line - 2'!M24</f>
        <v>82</v>
      </c>
      <c r="N24" s="42">
        <f>'Line - 1'!N24+'Line - 2'!N24</f>
        <v>83</v>
      </c>
      <c r="O24" s="42">
        <f>'Line - 1'!O24+'Line - 2'!O24</f>
        <v>81</v>
      </c>
      <c r="P24" s="42">
        <f>'Line - 1'!P24+'Line - 2'!P24</f>
        <v>72</v>
      </c>
      <c r="Q24" s="42">
        <f>'Line - 1'!Q24+'Line - 2'!Q24</f>
        <v>102</v>
      </c>
      <c r="R24" s="42">
        <f>'Line - 1'!R24+'Line - 2'!R24</f>
        <v>89</v>
      </c>
      <c r="S24" s="42">
        <f>'Line - 1'!S24+'Line - 2'!S24</f>
        <v>0</v>
      </c>
      <c r="T24" s="42">
        <f>'Line - 1'!T24+'Line - 2'!T24</f>
        <v>75</v>
      </c>
      <c r="U24" s="42">
        <f>'Line - 1'!U24+'Line - 2'!U24</f>
        <v>113</v>
      </c>
      <c r="V24" s="42">
        <f>'Line - 1'!V24+'Line - 2'!V24</f>
        <v>102</v>
      </c>
      <c r="W24" s="42">
        <f>'Line - 1'!W24+'Line - 2'!W24</f>
        <v>83</v>
      </c>
      <c r="X24" s="42">
        <f>'Line - 1'!X24+'Line - 2'!X24</f>
        <v>80</v>
      </c>
      <c r="Y24" s="42">
        <f>'Line - 1'!Y24+'Line - 2'!Y24</f>
        <v>0</v>
      </c>
      <c r="Z24" s="42">
        <f>'Line - 1'!Z24+'Line - 2'!Z24</f>
        <v>0</v>
      </c>
      <c r="AA24" s="42">
        <f>'Line - 1'!AA24+'Line - 2'!AA24</f>
        <v>0</v>
      </c>
      <c r="AB24" s="42">
        <f>'Line - 1'!AB24+'Line - 2'!AB24</f>
        <v>0</v>
      </c>
      <c r="AC24" s="42">
        <f>'Line - 1'!AC24+'Line - 2'!AC24</f>
        <v>0</v>
      </c>
      <c r="AD24" s="42">
        <f>'Line - 1'!AD24+'Line - 2'!AD24</f>
        <v>0</v>
      </c>
      <c r="AE24" s="42">
        <f>'Line - 1'!AE24+'Line - 2'!AE24</f>
        <v>0</v>
      </c>
      <c r="AF24" s="42">
        <f>'Line - 1'!AF24+'Line - 2'!AF24</f>
        <v>0</v>
      </c>
      <c r="AG24" s="30">
        <f t="shared" si="17"/>
        <v>2261</v>
      </c>
    </row>
    <row r="25" spans="1:33" ht="15" customHeight="1">
      <c r="B25" s="11" t="s">
        <v>20</v>
      </c>
      <c r="C25" s="42">
        <f>'Line - 1'!C25+'Line - 2'!C25</f>
        <v>7</v>
      </c>
      <c r="D25" s="42">
        <f>'Line - 1'!D25+'Line - 2'!D25</f>
        <v>14</v>
      </c>
      <c r="E25" s="42">
        <f>'Line - 1'!E25+'Line - 2'!E25</f>
        <v>15</v>
      </c>
      <c r="F25" s="42">
        <f>'Line - 1'!F25+'Line - 2'!F25</f>
        <v>18</v>
      </c>
      <c r="G25" s="42">
        <f>'Line - 1'!G25+'Line - 2'!G25</f>
        <v>7</v>
      </c>
      <c r="H25" s="42">
        <f>'Line - 1'!H25+'Line - 2'!H25</f>
        <v>8</v>
      </c>
      <c r="I25" s="42">
        <f>'Line - 1'!I25+'Line - 2'!I25</f>
        <v>16</v>
      </c>
      <c r="J25" s="42">
        <f>'Line - 1'!J25+'Line - 2'!J25</f>
        <v>7</v>
      </c>
      <c r="K25" s="42">
        <f>'Line - 1'!K25+'Line - 2'!K25</f>
        <v>7</v>
      </c>
      <c r="L25" s="42">
        <f>'Line - 1'!L25+'Line - 2'!L25</f>
        <v>5</v>
      </c>
      <c r="M25" s="42">
        <f>'Line - 1'!M25+'Line - 2'!M25</f>
        <v>10</v>
      </c>
      <c r="N25" s="42">
        <f>'Line - 1'!N25+'Line - 2'!N25</f>
        <v>8</v>
      </c>
      <c r="O25" s="42">
        <f>'Line - 1'!O25+'Line - 2'!O25</f>
        <v>13</v>
      </c>
      <c r="P25" s="42">
        <f>'Line - 1'!P25+'Line - 2'!P25</f>
        <v>13</v>
      </c>
      <c r="Q25" s="42">
        <f>'Line - 1'!Q25+'Line - 2'!Q25</f>
        <v>14</v>
      </c>
      <c r="R25" s="42">
        <f>'Line - 1'!R25+'Line - 2'!R25</f>
        <v>4</v>
      </c>
      <c r="S25" s="42">
        <f>'Line - 1'!S25+'Line - 2'!S25</f>
        <v>0</v>
      </c>
      <c r="T25" s="42">
        <f>'Line - 1'!T25+'Line - 2'!T25</f>
        <v>5</v>
      </c>
      <c r="U25" s="42">
        <f>'Line - 1'!U25+'Line - 2'!U25</f>
        <v>8</v>
      </c>
      <c r="V25" s="42">
        <f>'Line - 1'!V25+'Line - 2'!V25</f>
        <v>16</v>
      </c>
      <c r="W25" s="42">
        <f>'Line - 1'!W25+'Line - 2'!W25</f>
        <v>17</v>
      </c>
      <c r="X25" s="42">
        <f>'Line - 1'!X25+'Line - 2'!X25</f>
        <v>8</v>
      </c>
      <c r="Y25" s="42">
        <f>'Line - 1'!Y25+'Line - 2'!Y25</f>
        <v>0</v>
      </c>
      <c r="Z25" s="42">
        <f>'Line - 1'!Z25+'Line - 2'!Z25</f>
        <v>0</v>
      </c>
      <c r="AA25" s="42">
        <f>'Line - 1'!AA25+'Line - 2'!AA25</f>
        <v>0</v>
      </c>
      <c r="AB25" s="42">
        <f>'Line - 1'!AB25+'Line - 2'!AB25</f>
        <v>0</v>
      </c>
      <c r="AC25" s="42">
        <f>'Line - 1'!AC25+'Line - 2'!AC25</f>
        <v>0</v>
      </c>
      <c r="AD25" s="42">
        <f>'Line - 1'!AD25+'Line - 2'!AD25</f>
        <v>0</v>
      </c>
      <c r="AE25" s="42">
        <f>'Line - 1'!AE25+'Line - 2'!AE25</f>
        <v>0</v>
      </c>
      <c r="AF25" s="42">
        <f>'Line - 1'!AF25+'Line - 2'!AF25</f>
        <v>0</v>
      </c>
      <c r="AG25" s="30">
        <f t="shared" si="17"/>
        <v>220</v>
      </c>
    </row>
    <row r="26" spans="1:33" ht="15" customHeight="1">
      <c r="B26" s="11" t="s">
        <v>21</v>
      </c>
      <c r="C26" s="42">
        <f>'Line - 1'!C26+'Line - 2'!C26</f>
        <v>0</v>
      </c>
      <c r="D26" s="42">
        <f>'Line - 1'!D26+'Line - 2'!D26</f>
        <v>1</v>
      </c>
      <c r="E26" s="42">
        <f>'Line - 1'!E26+'Line - 2'!E26</f>
        <v>0</v>
      </c>
      <c r="F26" s="42">
        <f>'Line - 1'!F26+'Line - 2'!F26</f>
        <v>1</v>
      </c>
      <c r="G26" s="42">
        <f>'Line - 1'!G26+'Line - 2'!G26</f>
        <v>2</v>
      </c>
      <c r="H26" s="42">
        <f>'Line - 1'!H26+'Line - 2'!H26</f>
        <v>0</v>
      </c>
      <c r="I26" s="42">
        <f>'Line - 1'!I26+'Line - 2'!I26</f>
        <v>0</v>
      </c>
      <c r="J26" s="42">
        <f>'Line - 1'!J26+'Line - 2'!J26</f>
        <v>0</v>
      </c>
      <c r="K26" s="42">
        <f>'Line - 1'!K26+'Line - 2'!K26</f>
        <v>0</v>
      </c>
      <c r="L26" s="42">
        <f>'Line - 1'!L26+'Line - 2'!L26</f>
        <v>0</v>
      </c>
      <c r="M26" s="42">
        <f>'Line - 1'!M26+'Line - 2'!M26</f>
        <v>1</v>
      </c>
      <c r="N26" s="42">
        <f>'Line - 1'!N26+'Line - 2'!N26</f>
        <v>1</v>
      </c>
      <c r="O26" s="42">
        <f>'Line - 1'!O26+'Line - 2'!O26</f>
        <v>0</v>
      </c>
      <c r="P26" s="42">
        <f>'Line - 1'!P26+'Line - 2'!P26</f>
        <v>0</v>
      </c>
      <c r="Q26" s="42">
        <f>'Line - 1'!Q26+'Line - 2'!Q26</f>
        <v>0</v>
      </c>
      <c r="R26" s="42">
        <f>'Line - 1'!R26+'Line - 2'!R26</f>
        <v>0</v>
      </c>
      <c r="S26" s="42">
        <f>'Line - 1'!S26+'Line - 2'!S26</f>
        <v>0</v>
      </c>
      <c r="T26" s="42">
        <f>'Line - 1'!T26+'Line - 2'!T26</f>
        <v>1</v>
      </c>
      <c r="U26" s="42">
        <f>'Line - 1'!U26+'Line - 2'!U26</f>
        <v>0</v>
      </c>
      <c r="V26" s="42">
        <f>'Line - 1'!V26+'Line - 2'!V26</f>
        <v>0</v>
      </c>
      <c r="W26" s="42">
        <f>'Line - 1'!W26+'Line - 2'!W26</f>
        <v>0</v>
      </c>
      <c r="X26" s="42">
        <f>'Line - 1'!X26+'Line - 2'!X26</f>
        <v>0</v>
      </c>
      <c r="Y26" s="42">
        <f>'Line - 1'!Y26+'Line - 2'!Y26</f>
        <v>0</v>
      </c>
      <c r="Z26" s="42">
        <f>'Line - 1'!Z26+'Line - 2'!Z26</f>
        <v>0</v>
      </c>
      <c r="AA26" s="42">
        <f>'Line - 1'!AA26+'Line - 2'!AA26</f>
        <v>0</v>
      </c>
      <c r="AB26" s="42">
        <f>'Line - 1'!AB26+'Line - 2'!AB26</f>
        <v>0</v>
      </c>
      <c r="AC26" s="42">
        <f>'Line - 1'!AC26+'Line - 2'!AC26</f>
        <v>0</v>
      </c>
      <c r="AD26" s="42">
        <f>'Line - 1'!AD26+'Line - 2'!AD26</f>
        <v>0</v>
      </c>
      <c r="AE26" s="42">
        <f>'Line - 1'!AE26+'Line - 2'!AE26</f>
        <v>0</v>
      </c>
      <c r="AF26" s="42">
        <f>'Line - 1'!AF26+'Line - 2'!AF26</f>
        <v>0</v>
      </c>
      <c r="AG26" s="30">
        <f t="shared" si="17"/>
        <v>7</v>
      </c>
    </row>
    <row r="27" spans="1:33" ht="15" customHeight="1">
      <c r="B27" s="11" t="s">
        <v>22</v>
      </c>
      <c r="C27" s="42">
        <f>'Line - 1'!C27+'Line - 2'!C27</f>
        <v>10</v>
      </c>
      <c r="D27" s="42">
        <f>'Line - 1'!D27+'Line - 2'!D27</f>
        <v>13</v>
      </c>
      <c r="E27" s="42">
        <f>'Line - 1'!E27+'Line - 2'!E27</f>
        <v>13</v>
      </c>
      <c r="F27" s="42">
        <f>'Line - 1'!F27+'Line - 2'!F27</f>
        <v>9</v>
      </c>
      <c r="G27" s="42">
        <f>'Line - 1'!G27+'Line - 2'!G27</f>
        <v>8</v>
      </c>
      <c r="H27" s="42">
        <f>'Line - 1'!H27+'Line - 2'!H27</f>
        <v>2</v>
      </c>
      <c r="I27" s="42">
        <f>'Line - 1'!I27+'Line - 2'!I27</f>
        <v>8</v>
      </c>
      <c r="J27" s="42">
        <f>'Line - 1'!J27+'Line - 2'!J27</f>
        <v>5</v>
      </c>
      <c r="K27" s="42">
        <f>'Line - 1'!K27+'Line - 2'!K27</f>
        <v>14</v>
      </c>
      <c r="L27" s="42">
        <f>'Line - 1'!L27+'Line - 2'!L27</f>
        <v>4</v>
      </c>
      <c r="M27" s="42">
        <f>'Line - 1'!M27+'Line - 2'!M27</f>
        <v>7</v>
      </c>
      <c r="N27" s="42">
        <f>'Line - 1'!N27+'Line - 2'!N27</f>
        <v>10</v>
      </c>
      <c r="O27" s="42">
        <f>'Line - 1'!O27+'Line - 2'!O27</f>
        <v>8</v>
      </c>
      <c r="P27" s="42">
        <f>'Line - 1'!P27+'Line - 2'!P27</f>
        <v>5</v>
      </c>
      <c r="Q27" s="42">
        <f>'Line - 1'!Q27+'Line - 2'!Q27</f>
        <v>7</v>
      </c>
      <c r="R27" s="42">
        <f>'Line - 1'!R27+'Line - 2'!R27</f>
        <v>4</v>
      </c>
      <c r="S27" s="42">
        <f>'Line - 1'!S27+'Line - 2'!S27</f>
        <v>0</v>
      </c>
      <c r="T27" s="42">
        <f>'Line - 1'!T27+'Line - 2'!T27</f>
        <v>11</v>
      </c>
      <c r="U27" s="42">
        <f>'Line - 1'!U27+'Line - 2'!U27</f>
        <v>7</v>
      </c>
      <c r="V27" s="42">
        <f>'Line - 1'!V27+'Line - 2'!V27</f>
        <v>6</v>
      </c>
      <c r="W27" s="42">
        <f>'Line - 1'!W27+'Line - 2'!W27</f>
        <v>8</v>
      </c>
      <c r="X27" s="42">
        <f>'Line - 1'!X27+'Line - 2'!X27</f>
        <v>4</v>
      </c>
      <c r="Y27" s="42">
        <f>'Line - 1'!Y27+'Line - 2'!Y27</f>
        <v>0</v>
      </c>
      <c r="Z27" s="42">
        <f>'Line - 1'!Z27+'Line - 2'!Z27</f>
        <v>0</v>
      </c>
      <c r="AA27" s="42">
        <f>'Line - 1'!AA27+'Line - 2'!AA27</f>
        <v>0</v>
      </c>
      <c r="AB27" s="42">
        <f>'Line - 1'!AB27+'Line - 2'!AB27</f>
        <v>0</v>
      </c>
      <c r="AC27" s="42">
        <f>'Line - 1'!AC27+'Line - 2'!AC27</f>
        <v>0</v>
      </c>
      <c r="AD27" s="42">
        <f>'Line - 1'!AD27+'Line - 2'!AD27</f>
        <v>0</v>
      </c>
      <c r="AE27" s="42">
        <f>'Line - 1'!AE27+'Line - 2'!AE27</f>
        <v>0</v>
      </c>
      <c r="AF27" s="42">
        <f>'Line - 1'!AF27+'Line - 2'!AF27</f>
        <v>0</v>
      </c>
      <c r="AG27" s="30">
        <f t="shared" si="17"/>
        <v>163</v>
      </c>
    </row>
    <row r="28" spans="1:33" ht="15" customHeight="1">
      <c r="B28" s="11" t="s">
        <v>23</v>
      </c>
      <c r="C28" s="42">
        <f>'Line - 1'!C28+'Line - 2'!C28</f>
        <v>5</v>
      </c>
      <c r="D28" s="42">
        <f>'Line - 1'!D28+'Line - 2'!D28</f>
        <v>7</v>
      </c>
      <c r="E28" s="42">
        <f>'Line - 1'!E28+'Line - 2'!E28</f>
        <v>2</v>
      </c>
      <c r="F28" s="42">
        <f>'Line - 1'!F28+'Line - 2'!F28</f>
        <v>2</v>
      </c>
      <c r="G28" s="42">
        <f>'Line - 1'!G28+'Line - 2'!G28</f>
        <v>4</v>
      </c>
      <c r="H28" s="42">
        <f>'Line - 1'!H28+'Line - 2'!H28</f>
        <v>1</v>
      </c>
      <c r="I28" s="42">
        <f>'Line - 1'!I28+'Line - 2'!I28</f>
        <v>2</v>
      </c>
      <c r="J28" s="42">
        <f>'Line - 1'!J28+'Line - 2'!J28</f>
        <v>5</v>
      </c>
      <c r="K28" s="42">
        <f>'Line - 1'!K28+'Line - 2'!K28</f>
        <v>5</v>
      </c>
      <c r="L28" s="42">
        <f>'Line - 1'!L28+'Line - 2'!L28</f>
        <v>4</v>
      </c>
      <c r="M28" s="42">
        <f>'Line - 1'!M28+'Line - 2'!M28</f>
        <v>4</v>
      </c>
      <c r="N28" s="42">
        <f>'Line - 1'!N28+'Line - 2'!N28</f>
        <v>6</v>
      </c>
      <c r="O28" s="42">
        <f>'Line - 1'!O28+'Line - 2'!O28</f>
        <v>7</v>
      </c>
      <c r="P28" s="42">
        <f>'Line - 1'!P28+'Line - 2'!P28</f>
        <v>5</v>
      </c>
      <c r="Q28" s="42">
        <f>'Line - 1'!Q28+'Line - 2'!Q28</f>
        <v>6</v>
      </c>
      <c r="R28" s="42">
        <f>'Line - 1'!R28+'Line - 2'!R28</f>
        <v>6</v>
      </c>
      <c r="S28" s="42">
        <f>'Line - 1'!S28+'Line - 2'!S28</f>
        <v>0</v>
      </c>
      <c r="T28" s="42">
        <f>'Line - 1'!T28+'Line - 2'!T28</f>
        <v>3</v>
      </c>
      <c r="U28" s="42">
        <f>'Line - 1'!U28+'Line - 2'!U28</f>
        <v>7</v>
      </c>
      <c r="V28" s="42">
        <f>'Line - 1'!V28+'Line - 2'!V28</f>
        <v>4</v>
      </c>
      <c r="W28" s="42">
        <f>'Line - 1'!W28+'Line - 2'!W28</f>
        <v>5</v>
      </c>
      <c r="X28" s="42">
        <f>'Line - 1'!X28+'Line - 2'!X28</f>
        <v>4</v>
      </c>
      <c r="Y28" s="42">
        <f>'Line - 1'!Y28+'Line - 2'!Y28</f>
        <v>0</v>
      </c>
      <c r="Z28" s="42">
        <f>'Line - 1'!Z28+'Line - 2'!Z28</f>
        <v>0</v>
      </c>
      <c r="AA28" s="42">
        <f>'Line - 1'!AA28+'Line - 2'!AA28</f>
        <v>0</v>
      </c>
      <c r="AB28" s="42">
        <f>'Line - 1'!AB28+'Line - 2'!AB28</f>
        <v>0</v>
      </c>
      <c r="AC28" s="42">
        <f>'Line - 1'!AC28+'Line - 2'!AC28</f>
        <v>0</v>
      </c>
      <c r="AD28" s="42">
        <f>'Line - 1'!AD28+'Line - 2'!AD28</f>
        <v>0</v>
      </c>
      <c r="AE28" s="42">
        <f>'Line - 1'!AE28+'Line - 2'!AE28</f>
        <v>0</v>
      </c>
      <c r="AF28" s="42">
        <f>'Line - 1'!AF28+'Line - 2'!AF28</f>
        <v>0</v>
      </c>
      <c r="AG28" s="30">
        <f t="shared" si="17"/>
        <v>94</v>
      </c>
    </row>
    <row r="29" spans="1:33" ht="15" customHeight="1">
      <c r="B29" s="11" t="s">
        <v>24</v>
      </c>
      <c r="C29" s="42">
        <f>'Line - 1'!C29+'Line - 2'!C29</f>
        <v>6</v>
      </c>
      <c r="D29" s="42">
        <f>'Line - 1'!D29+'Line - 2'!D29</f>
        <v>6</v>
      </c>
      <c r="E29" s="42">
        <f>'Line - 1'!E29+'Line - 2'!E29</f>
        <v>7</v>
      </c>
      <c r="F29" s="42">
        <f>'Line - 1'!F29+'Line - 2'!F29</f>
        <v>12</v>
      </c>
      <c r="G29" s="42">
        <f>'Line - 1'!G29+'Line - 2'!G29</f>
        <v>6</v>
      </c>
      <c r="H29" s="42">
        <f>'Line - 1'!H29+'Line - 2'!H29</f>
        <v>1</v>
      </c>
      <c r="I29" s="42">
        <f>'Line - 1'!I29+'Line - 2'!I29</f>
        <v>12</v>
      </c>
      <c r="J29" s="42">
        <f>'Line - 1'!J29+'Line - 2'!J29</f>
        <v>22</v>
      </c>
      <c r="K29" s="42">
        <f>'Line - 1'!K29+'Line - 2'!K29</f>
        <v>12</v>
      </c>
      <c r="L29" s="42">
        <f>'Line - 1'!L29+'Line - 2'!L29</f>
        <v>18</v>
      </c>
      <c r="M29" s="42">
        <f>'Line - 1'!M29+'Line - 2'!M29</f>
        <v>7</v>
      </c>
      <c r="N29" s="42">
        <f>'Line - 1'!N29+'Line - 2'!N29</f>
        <v>18</v>
      </c>
      <c r="O29" s="42">
        <f>'Line - 1'!O29+'Line - 2'!O29</f>
        <v>4</v>
      </c>
      <c r="P29" s="42">
        <f>'Line - 1'!P29+'Line - 2'!P29</f>
        <v>9</v>
      </c>
      <c r="Q29" s="42">
        <f>'Line - 1'!Q29+'Line - 2'!Q29</f>
        <v>5</v>
      </c>
      <c r="R29" s="42">
        <f>'Line - 1'!R29+'Line - 2'!R29</f>
        <v>7</v>
      </c>
      <c r="S29" s="42">
        <f>'Line - 1'!S29+'Line - 2'!S29</f>
        <v>0</v>
      </c>
      <c r="T29" s="42">
        <f>'Line - 1'!T29+'Line - 2'!T29</f>
        <v>6</v>
      </c>
      <c r="U29" s="42">
        <f>'Line - 1'!U29+'Line - 2'!U29</f>
        <v>12</v>
      </c>
      <c r="V29" s="42">
        <f>'Line - 1'!V29+'Line - 2'!V29</f>
        <v>8</v>
      </c>
      <c r="W29" s="42">
        <f>'Line - 1'!W29+'Line - 2'!W29</f>
        <v>12</v>
      </c>
      <c r="X29" s="42">
        <f>'Line - 1'!X29+'Line - 2'!X29</f>
        <v>6</v>
      </c>
      <c r="Y29" s="42">
        <f>'Line - 1'!Y29+'Line - 2'!Y29</f>
        <v>0</v>
      </c>
      <c r="Z29" s="42">
        <f>'Line - 1'!Z29+'Line - 2'!Z29</f>
        <v>0</v>
      </c>
      <c r="AA29" s="42">
        <f>'Line - 1'!AA29+'Line - 2'!AA29</f>
        <v>0</v>
      </c>
      <c r="AB29" s="42">
        <f>'Line - 1'!AB29+'Line - 2'!AB29</f>
        <v>0</v>
      </c>
      <c r="AC29" s="42">
        <f>'Line - 1'!AC29+'Line - 2'!AC29</f>
        <v>0</v>
      </c>
      <c r="AD29" s="42">
        <f>'Line - 1'!AD29+'Line - 2'!AD29</f>
        <v>0</v>
      </c>
      <c r="AE29" s="42">
        <f>'Line - 1'!AE29+'Line - 2'!AE29</f>
        <v>0</v>
      </c>
      <c r="AF29" s="42">
        <f>'Line - 1'!AF29+'Line - 2'!AF29</f>
        <v>0</v>
      </c>
      <c r="AG29" s="30">
        <f t="shared" si="17"/>
        <v>196</v>
      </c>
    </row>
    <row r="30" spans="1:33" ht="15" customHeight="1">
      <c r="B30" s="11" t="s">
        <v>25</v>
      </c>
      <c r="C30" s="42">
        <f>'Line - 1'!C30+'Line - 2'!C30</f>
        <v>12</v>
      </c>
      <c r="D30" s="42">
        <f>'Line - 1'!D30+'Line - 2'!D30</f>
        <v>2</v>
      </c>
      <c r="E30" s="42">
        <f>'Line - 1'!E30+'Line - 2'!E30</f>
        <v>5</v>
      </c>
      <c r="F30" s="42">
        <f>'Line - 1'!F30+'Line - 2'!F30</f>
        <v>5</v>
      </c>
      <c r="G30" s="42">
        <f>'Line - 1'!G30+'Line - 2'!G30</f>
        <v>16</v>
      </c>
      <c r="H30" s="42">
        <f>'Line - 1'!H30+'Line - 2'!H30</f>
        <v>7</v>
      </c>
      <c r="I30" s="42">
        <f>'Line - 1'!I30+'Line - 2'!I30</f>
        <v>6</v>
      </c>
      <c r="J30" s="42">
        <f>'Line - 1'!J30+'Line - 2'!J30</f>
        <v>2</v>
      </c>
      <c r="K30" s="42">
        <f>'Line - 1'!K30+'Line - 2'!K30</f>
        <v>1</v>
      </c>
      <c r="L30" s="42">
        <f>'Line - 1'!L30+'Line - 2'!L30</f>
        <v>2</v>
      </c>
      <c r="M30" s="42">
        <f>'Line - 1'!M30+'Line - 2'!M30</f>
        <v>1</v>
      </c>
      <c r="N30" s="42">
        <f>'Line - 1'!N30+'Line - 2'!N30</f>
        <v>2</v>
      </c>
      <c r="O30" s="42">
        <f>'Line - 1'!O30+'Line - 2'!O30</f>
        <v>3</v>
      </c>
      <c r="P30" s="42">
        <f>'Line - 1'!P30+'Line - 2'!P30</f>
        <v>8</v>
      </c>
      <c r="Q30" s="42">
        <f>'Line - 1'!Q30+'Line - 2'!Q30</f>
        <v>3</v>
      </c>
      <c r="R30" s="42">
        <f>'Line - 1'!R30+'Line - 2'!R30</f>
        <v>7</v>
      </c>
      <c r="S30" s="42">
        <f>'Line - 1'!S30+'Line - 2'!S30</f>
        <v>0</v>
      </c>
      <c r="T30" s="42">
        <f>'Line - 1'!T30+'Line - 2'!T30</f>
        <v>8</v>
      </c>
      <c r="U30" s="42">
        <f>'Line - 1'!U30+'Line - 2'!U30</f>
        <v>4</v>
      </c>
      <c r="V30" s="42">
        <f>'Line - 1'!V30+'Line - 2'!V30</f>
        <v>14</v>
      </c>
      <c r="W30" s="42">
        <f>'Line - 1'!W30+'Line - 2'!W30</f>
        <v>7</v>
      </c>
      <c r="X30" s="42">
        <f>'Line - 1'!X30+'Line - 2'!X30</f>
        <v>18</v>
      </c>
      <c r="Y30" s="42">
        <f>'Line - 1'!Y30+'Line - 2'!Y30</f>
        <v>0</v>
      </c>
      <c r="Z30" s="42">
        <f>'Line - 1'!Z30+'Line - 2'!Z30</f>
        <v>0</v>
      </c>
      <c r="AA30" s="42">
        <f>'Line - 1'!AA30+'Line - 2'!AA30</f>
        <v>0</v>
      </c>
      <c r="AB30" s="42">
        <f>'Line - 1'!AB30+'Line - 2'!AB30</f>
        <v>0</v>
      </c>
      <c r="AC30" s="42">
        <f>'Line - 1'!AC30+'Line - 2'!AC30</f>
        <v>0</v>
      </c>
      <c r="AD30" s="42">
        <f>'Line - 1'!AD30+'Line - 2'!AD30</f>
        <v>0</v>
      </c>
      <c r="AE30" s="42">
        <f>'Line - 1'!AE30+'Line - 2'!AE30</f>
        <v>0</v>
      </c>
      <c r="AF30" s="42">
        <f>'Line - 1'!AF30+'Line - 2'!AF30</f>
        <v>0</v>
      </c>
      <c r="AG30" s="30">
        <f t="shared" si="17"/>
        <v>133</v>
      </c>
    </row>
    <row r="31" spans="1:33" ht="15" customHeight="1">
      <c r="B31" s="11" t="s">
        <v>26</v>
      </c>
      <c r="C31" s="42">
        <f>'Line - 1'!C31+'Line - 2'!C31</f>
        <v>9</v>
      </c>
      <c r="D31" s="42">
        <f>'Line - 1'!D31+'Line - 2'!D31</f>
        <v>9</v>
      </c>
      <c r="E31" s="42">
        <f>'Line - 1'!E31+'Line - 2'!E31</f>
        <v>8</v>
      </c>
      <c r="F31" s="42">
        <f>'Line - 1'!F31+'Line - 2'!F31</f>
        <v>8</v>
      </c>
      <c r="G31" s="42">
        <f>'Line - 1'!G31+'Line - 2'!G31</f>
        <v>3</v>
      </c>
      <c r="H31" s="42">
        <f>'Line - 1'!H31+'Line - 2'!H31</f>
        <v>8</v>
      </c>
      <c r="I31" s="42">
        <f>'Line - 1'!I31+'Line - 2'!I31</f>
        <v>11</v>
      </c>
      <c r="J31" s="42">
        <f>'Line - 1'!J31+'Line - 2'!J31</f>
        <v>15</v>
      </c>
      <c r="K31" s="42">
        <f>'Line - 1'!K31+'Line - 2'!K31</f>
        <v>12</v>
      </c>
      <c r="L31" s="42">
        <f>'Line - 1'!L31+'Line - 2'!L31</f>
        <v>5</v>
      </c>
      <c r="M31" s="42">
        <f>'Line - 1'!M31+'Line - 2'!M31</f>
        <v>9</v>
      </c>
      <c r="N31" s="42">
        <f>'Line - 1'!N31+'Line - 2'!N31</f>
        <v>4</v>
      </c>
      <c r="O31" s="42">
        <f>'Line - 1'!O31+'Line - 2'!O31</f>
        <v>10</v>
      </c>
      <c r="P31" s="42">
        <f>'Line - 1'!P31+'Line - 2'!P31</f>
        <v>7</v>
      </c>
      <c r="Q31" s="42">
        <f>'Line - 1'!Q31+'Line - 2'!Q31</f>
        <v>9</v>
      </c>
      <c r="R31" s="42">
        <f>'Line - 1'!R31+'Line - 2'!R31</f>
        <v>5</v>
      </c>
      <c r="S31" s="42">
        <f>'Line - 1'!S31+'Line - 2'!S31</f>
        <v>0</v>
      </c>
      <c r="T31" s="42">
        <f>'Line - 1'!T31+'Line - 2'!T31</f>
        <v>9</v>
      </c>
      <c r="U31" s="42">
        <f>'Line - 1'!U31+'Line - 2'!U31</f>
        <v>9</v>
      </c>
      <c r="V31" s="42">
        <f>'Line - 1'!V31+'Line - 2'!V31</f>
        <v>6</v>
      </c>
      <c r="W31" s="42">
        <f>'Line - 1'!W31+'Line - 2'!W31</f>
        <v>5</v>
      </c>
      <c r="X31" s="42">
        <f>'Line - 1'!X31+'Line - 2'!X31</f>
        <v>3</v>
      </c>
      <c r="Y31" s="42">
        <f>'Line - 1'!Y31+'Line - 2'!Y31</f>
        <v>0</v>
      </c>
      <c r="Z31" s="42">
        <f>'Line - 1'!Z31+'Line - 2'!Z31</f>
        <v>0</v>
      </c>
      <c r="AA31" s="42">
        <f>'Line - 1'!AA31+'Line - 2'!AA31</f>
        <v>0</v>
      </c>
      <c r="AB31" s="42">
        <f>'Line - 1'!AB31+'Line - 2'!AB31</f>
        <v>0</v>
      </c>
      <c r="AC31" s="42">
        <f>'Line - 1'!AC31+'Line - 2'!AC31</f>
        <v>0</v>
      </c>
      <c r="AD31" s="42">
        <f>'Line - 1'!AD31+'Line - 2'!AD31</f>
        <v>0</v>
      </c>
      <c r="AE31" s="42">
        <f>'Line - 1'!AE31+'Line - 2'!AE31</f>
        <v>0</v>
      </c>
      <c r="AF31" s="42">
        <f>'Line - 1'!AF31+'Line - 2'!AF31</f>
        <v>0</v>
      </c>
      <c r="AG31" s="30">
        <f t="shared" si="17"/>
        <v>164</v>
      </c>
    </row>
    <row r="32" spans="1:33" ht="15" customHeight="1">
      <c r="B32" s="11" t="s">
        <v>27</v>
      </c>
      <c r="C32" s="42">
        <f>'Line - 1'!C32+'Line - 2'!C32</f>
        <v>4</v>
      </c>
      <c r="D32" s="42">
        <f>'Line - 1'!D32+'Line - 2'!D32</f>
        <v>4</v>
      </c>
      <c r="E32" s="42">
        <f>'Line - 1'!E32+'Line - 2'!E32</f>
        <v>2</v>
      </c>
      <c r="F32" s="42">
        <f>'Line - 1'!F32+'Line - 2'!F32</f>
        <v>3</v>
      </c>
      <c r="G32" s="42">
        <f>'Line - 1'!G32+'Line - 2'!G32</f>
        <v>5</v>
      </c>
      <c r="H32" s="42">
        <f>'Line - 1'!H32+'Line - 2'!H32</f>
        <v>3</v>
      </c>
      <c r="I32" s="42">
        <f>'Line - 1'!I32+'Line - 2'!I32</f>
        <v>6</v>
      </c>
      <c r="J32" s="42">
        <f>'Line - 1'!J32+'Line - 2'!J32</f>
        <v>3</v>
      </c>
      <c r="K32" s="42">
        <f>'Line - 1'!K32+'Line - 2'!K32</f>
        <v>1</v>
      </c>
      <c r="L32" s="42">
        <f>'Line - 1'!L32+'Line - 2'!L32</f>
        <v>0</v>
      </c>
      <c r="M32" s="42">
        <f>'Line - 1'!M32+'Line - 2'!M32</f>
        <v>1</v>
      </c>
      <c r="N32" s="42">
        <f>'Line - 1'!N32+'Line - 2'!N32</f>
        <v>4</v>
      </c>
      <c r="O32" s="42">
        <f>'Line - 1'!O32+'Line - 2'!O32</f>
        <v>1</v>
      </c>
      <c r="P32" s="42">
        <f>'Line - 1'!P32+'Line - 2'!P32</f>
        <v>3</v>
      </c>
      <c r="Q32" s="42">
        <f>'Line - 1'!Q32+'Line - 2'!Q32</f>
        <v>0</v>
      </c>
      <c r="R32" s="42">
        <f>'Line - 1'!R32+'Line - 2'!R32</f>
        <v>2</v>
      </c>
      <c r="S32" s="42">
        <f>'Line - 1'!S32+'Line - 2'!S32</f>
        <v>0</v>
      </c>
      <c r="T32" s="42">
        <f>'Line - 1'!T32+'Line - 2'!T32</f>
        <v>3</v>
      </c>
      <c r="U32" s="42">
        <f>'Line - 1'!U32+'Line - 2'!U32</f>
        <v>4</v>
      </c>
      <c r="V32" s="42">
        <f>'Line - 1'!V32+'Line - 2'!V32</f>
        <v>0</v>
      </c>
      <c r="W32" s="42">
        <f>'Line - 1'!W32+'Line - 2'!W32</f>
        <v>5</v>
      </c>
      <c r="X32" s="42">
        <f>'Line - 1'!X32+'Line - 2'!X32</f>
        <v>1</v>
      </c>
      <c r="Y32" s="42">
        <f>'Line - 1'!Y32+'Line - 2'!Y32</f>
        <v>0</v>
      </c>
      <c r="Z32" s="42">
        <f>'Line - 1'!Z32+'Line - 2'!Z32</f>
        <v>0</v>
      </c>
      <c r="AA32" s="42">
        <f>'Line - 1'!AA32+'Line - 2'!AA32</f>
        <v>0</v>
      </c>
      <c r="AB32" s="42">
        <f>'Line - 1'!AB32+'Line - 2'!AB32</f>
        <v>0</v>
      </c>
      <c r="AC32" s="42">
        <f>'Line - 1'!AC32+'Line - 2'!AC32</f>
        <v>0</v>
      </c>
      <c r="AD32" s="42">
        <f>'Line - 1'!AD32+'Line - 2'!AD32</f>
        <v>0</v>
      </c>
      <c r="AE32" s="42">
        <f>'Line - 1'!AE32+'Line - 2'!AE32</f>
        <v>0</v>
      </c>
      <c r="AF32" s="42">
        <f>'Line - 1'!AF32+'Line - 2'!AF32</f>
        <v>0</v>
      </c>
      <c r="AG32" s="30">
        <f t="shared" si="17"/>
        <v>55</v>
      </c>
    </row>
    <row r="33" spans="1:33" ht="15" customHeight="1">
      <c r="B33" s="11" t="s">
        <v>28</v>
      </c>
      <c r="C33" s="42">
        <f>'Line - 1'!C33+'Line - 2'!C33</f>
        <v>28</v>
      </c>
      <c r="D33" s="42">
        <f>'Line - 1'!D33+'Line - 2'!D33</f>
        <v>16</v>
      </c>
      <c r="E33" s="42">
        <f>'Line - 1'!E33+'Line - 2'!E33</f>
        <v>21</v>
      </c>
      <c r="F33" s="42">
        <f>'Line - 1'!F33+'Line - 2'!F33</f>
        <v>23</v>
      </c>
      <c r="G33" s="42">
        <f>'Line - 1'!G33+'Line - 2'!G33</f>
        <v>41</v>
      </c>
      <c r="H33" s="42">
        <f>'Line - 1'!H33+'Line - 2'!H33</f>
        <v>15</v>
      </c>
      <c r="I33" s="42">
        <f>'Line - 1'!I33+'Line - 2'!I33</f>
        <v>18</v>
      </c>
      <c r="J33" s="42">
        <f>'Line - 1'!J33+'Line - 2'!J33</f>
        <v>24</v>
      </c>
      <c r="K33" s="42">
        <f>'Line - 1'!K33+'Line - 2'!K33</f>
        <v>26</v>
      </c>
      <c r="L33" s="42">
        <f>'Line - 1'!L33+'Line - 2'!L33</f>
        <v>21</v>
      </c>
      <c r="M33" s="42">
        <f>'Line - 1'!M33+'Line - 2'!M33</f>
        <v>25</v>
      </c>
      <c r="N33" s="42">
        <f>'Line - 1'!N33+'Line - 2'!N33</f>
        <v>18</v>
      </c>
      <c r="O33" s="42">
        <f>'Line - 1'!O33+'Line - 2'!O33</f>
        <v>16</v>
      </c>
      <c r="P33" s="42">
        <f>'Line - 1'!P33+'Line - 2'!P33</f>
        <v>8</v>
      </c>
      <c r="Q33" s="42">
        <f>'Line - 1'!Q33+'Line - 2'!Q33</f>
        <v>15</v>
      </c>
      <c r="R33" s="42">
        <f>'Line - 1'!R33+'Line - 2'!R33</f>
        <v>11</v>
      </c>
      <c r="S33" s="42">
        <f>'Line - 1'!S33+'Line - 2'!S33</f>
        <v>0</v>
      </c>
      <c r="T33" s="42">
        <f>'Line - 1'!T33+'Line - 2'!T33</f>
        <v>20</v>
      </c>
      <c r="U33" s="42">
        <f>'Line - 1'!U33+'Line - 2'!U33</f>
        <v>13</v>
      </c>
      <c r="V33" s="42">
        <f>'Line - 1'!V33+'Line - 2'!V33</f>
        <v>14</v>
      </c>
      <c r="W33" s="42">
        <f>'Line - 1'!W33+'Line - 2'!W33</f>
        <v>6</v>
      </c>
      <c r="X33" s="42">
        <f>'Line - 1'!X33+'Line - 2'!X33</f>
        <v>12</v>
      </c>
      <c r="Y33" s="42">
        <f>'Line - 1'!Y33+'Line - 2'!Y33</f>
        <v>0</v>
      </c>
      <c r="Z33" s="42">
        <f>'Line - 1'!Z33+'Line - 2'!Z33</f>
        <v>0</v>
      </c>
      <c r="AA33" s="42">
        <f>'Line - 1'!AA33+'Line - 2'!AA33</f>
        <v>0</v>
      </c>
      <c r="AB33" s="42">
        <f>'Line - 1'!AB33+'Line - 2'!AB33</f>
        <v>0</v>
      </c>
      <c r="AC33" s="42">
        <f>'Line - 1'!AC33+'Line - 2'!AC33</f>
        <v>0</v>
      </c>
      <c r="AD33" s="42">
        <f>'Line - 1'!AD33+'Line - 2'!AD33</f>
        <v>0</v>
      </c>
      <c r="AE33" s="42">
        <f>'Line - 1'!AE33+'Line - 2'!AE33</f>
        <v>0</v>
      </c>
      <c r="AF33" s="42">
        <f>'Line - 1'!AF33+'Line - 2'!AF33</f>
        <v>0</v>
      </c>
      <c r="AG33" s="30">
        <f t="shared" si="17"/>
        <v>391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3" ht="15" customHeight="1">
      <c r="B36" s="46" t="s">
        <v>29</v>
      </c>
      <c r="C36" s="47"/>
      <c r="D36" s="4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f>'Line - 1'!C38+'Line - 2'!C38</f>
        <v>4970</v>
      </c>
      <c r="D38" s="12">
        <f>'Line - 1'!D38+'Line - 2'!D38</f>
        <v>4796</v>
      </c>
      <c r="E38" s="12">
        <f>'Line - 1'!E38+'Line - 2'!E38</f>
        <v>4959</v>
      </c>
      <c r="F38" s="12">
        <f>'Line - 1'!F38+'Line - 2'!F38</f>
        <v>4950</v>
      </c>
      <c r="G38" s="12">
        <f>'Line - 1'!G38+'Line - 2'!G38</f>
        <v>5007</v>
      </c>
      <c r="H38" s="12">
        <f>'Line - 1'!H38+'Line - 2'!H38</f>
        <v>4977</v>
      </c>
      <c r="I38" s="12">
        <f>'Line - 1'!I38+'Line - 2'!I38</f>
        <v>4991</v>
      </c>
      <c r="J38" s="12">
        <f>'Line - 1'!J38+'Line - 2'!J38</f>
        <v>5287</v>
      </c>
      <c r="K38" s="12">
        <f>'Line - 1'!K38+'Line - 2'!K38</f>
        <v>5065</v>
      </c>
      <c r="L38" s="12">
        <f>'Line - 1'!L38+'Line - 2'!L38</f>
        <v>4525</v>
      </c>
      <c r="M38" s="12">
        <f>'Line - 1'!M38+'Line - 2'!M38</f>
        <v>4934</v>
      </c>
      <c r="N38" s="12">
        <f>'Line - 1'!N38+'Line - 2'!N38</f>
        <v>5249</v>
      </c>
      <c r="O38" s="12">
        <f>'Line - 1'!O38+'Line - 2'!O38</f>
        <v>5355</v>
      </c>
      <c r="P38" s="12">
        <f>'Line - 1'!P38+'Line - 2'!P38</f>
        <v>5467</v>
      </c>
      <c r="Q38" s="12">
        <f>'Line - 1'!Q38+'Line - 2'!Q38</f>
        <v>5324</v>
      </c>
      <c r="R38" s="12">
        <f>'Line - 1'!R38+'Line - 2'!R38</f>
        <v>4970</v>
      </c>
      <c r="S38" s="12">
        <f>'Line - 1'!S38+'Line - 2'!S38</f>
        <v>0</v>
      </c>
      <c r="T38" s="12">
        <f>'Line - 1'!T38+'Line - 2'!T38</f>
        <v>4495</v>
      </c>
      <c r="U38" s="12">
        <f>'Line - 1'!U38+'Line - 2'!U38</f>
        <v>5055</v>
      </c>
      <c r="V38" s="12">
        <f>'Line - 1'!V38+'Line - 2'!V38</f>
        <v>5090</v>
      </c>
      <c r="W38" s="12">
        <f>'Line - 1'!W38+'Line - 2'!W38</f>
        <v>5280</v>
      </c>
      <c r="X38" s="12">
        <f>'Line - 1'!X38+'Line - 2'!X38</f>
        <v>5300</v>
      </c>
      <c r="Y38" s="12">
        <f>'Line - 1'!Y38+'Line - 2'!Y38</f>
        <v>0</v>
      </c>
      <c r="Z38" s="12">
        <f>'Line - 1'!Z38+'Line - 2'!Z38</f>
        <v>0</v>
      </c>
      <c r="AA38" s="12">
        <f>'Line - 1'!AA38+'Line - 2'!AA38</f>
        <v>0</v>
      </c>
      <c r="AB38" s="12">
        <f>'Line - 1'!AB38+'Line - 2'!AB38</f>
        <v>0</v>
      </c>
      <c r="AC38" s="12">
        <f>'Line - 1'!AC38+'Line - 2'!AC38</f>
        <v>0</v>
      </c>
      <c r="AD38" s="12">
        <f>'Line - 1'!AD38+'Line - 2'!AD38</f>
        <v>0</v>
      </c>
      <c r="AE38" s="12">
        <f>'Line - 1'!AE38+'Line - 2'!AE38</f>
        <v>0</v>
      </c>
      <c r="AF38" s="12">
        <f>'Line - 1'!AF38+'Line - 2'!AF38</f>
        <v>0</v>
      </c>
      <c r="AG38" s="30">
        <f>SUM(C38:AF38)</f>
        <v>106046</v>
      </c>
    </row>
    <row r="39" spans="1:33" ht="15" customHeight="1">
      <c r="B39" s="11" t="s">
        <v>4</v>
      </c>
      <c r="C39" s="18">
        <f t="shared" ref="C39:N39" si="18">SUM(C41:C67)</f>
        <v>39</v>
      </c>
      <c r="D39" s="18">
        <f t="shared" si="18"/>
        <v>31</v>
      </c>
      <c r="E39" s="18">
        <f t="shared" si="18"/>
        <v>34</v>
      </c>
      <c r="F39" s="18">
        <f t="shared" si="18"/>
        <v>30</v>
      </c>
      <c r="G39" s="18">
        <f t="shared" si="18"/>
        <v>36</v>
      </c>
      <c r="H39" s="18">
        <f t="shared" si="18"/>
        <v>29</v>
      </c>
      <c r="I39" s="18">
        <f t="shared" si="18"/>
        <v>33</v>
      </c>
      <c r="J39" s="18">
        <f t="shared" si="18"/>
        <v>33</v>
      </c>
      <c r="K39" s="18">
        <f t="shared" si="18"/>
        <v>38</v>
      </c>
      <c r="L39" s="18">
        <f t="shared" si="18"/>
        <v>38</v>
      </c>
      <c r="M39" s="18">
        <f t="shared" si="18"/>
        <v>37</v>
      </c>
      <c r="N39" s="18">
        <f t="shared" si="18"/>
        <v>41</v>
      </c>
      <c r="O39" s="18">
        <f t="shared" ref="O39:P39" si="19">SUM(O41:O67)</f>
        <v>36</v>
      </c>
      <c r="P39" s="18">
        <f t="shared" si="19"/>
        <v>40</v>
      </c>
      <c r="Q39" s="18">
        <f t="shared" ref="Q39:R39" si="20">SUM(Q41:Q67)</f>
        <v>39</v>
      </c>
      <c r="R39" s="18">
        <f t="shared" si="20"/>
        <v>27</v>
      </c>
      <c r="S39" s="18">
        <f t="shared" ref="S39:AG39" si="21">SUM(S41:S67)</f>
        <v>0</v>
      </c>
      <c r="T39" s="18">
        <f t="shared" si="21"/>
        <v>26</v>
      </c>
      <c r="U39" s="18">
        <f t="shared" si="21"/>
        <v>31</v>
      </c>
      <c r="V39" s="18">
        <f t="shared" si="21"/>
        <v>13</v>
      </c>
      <c r="W39" s="18">
        <f t="shared" si="21"/>
        <v>39</v>
      </c>
      <c r="X39" s="18">
        <f t="shared" si="21"/>
        <v>44</v>
      </c>
      <c r="Y39" s="18">
        <f t="shared" si="21"/>
        <v>0</v>
      </c>
      <c r="Z39" s="18">
        <f t="shared" si="21"/>
        <v>0</v>
      </c>
      <c r="AA39" s="18">
        <f t="shared" si="21"/>
        <v>0</v>
      </c>
      <c r="AB39" s="18">
        <f t="shared" si="21"/>
        <v>0</v>
      </c>
      <c r="AC39" s="18" t="e">
        <f t="shared" si="21"/>
        <v>#REF!</v>
      </c>
      <c r="AD39" s="18">
        <f t="shared" si="21"/>
        <v>0</v>
      </c>
      <c r="AE39" s="18">
        <f t="shared" si="21"/>
        <v>0</v>
      </c>
      <c r="AF39" s="18">
        <f t="shared" si="21"/>
        <v>0</v>
      </c>
      <c r="AG39" s="12" t="e">
        <f t="shared" si="21"/>
        <v>#REF!</v>
      </c>
    </row>
    <row r="40" spans="1:33" s="6" customFormat="1" ht="15" customHeight="1">
      <c r="A40" s="6" t="s">
        <v>15</v>
      </c>
      <c r="B40" s="19" t="s">
        <v>5</v>
      </c>
      <c r="C40" s="20">
        <f t="shared" ref="C40:N40" si="22">IF(C38=0,0,(C39/C38))</f>
        <v>7.8470824949698186E-3</v>
      </c>
      <c r="D40" s="20">
        <f t="shared" si="22"/>
        <v>6.46371976647206E-3</v>
      </c>
      <c r="E40" s="20">
        <f t="shared" si="22"/>
        <v>6.8562210123008669E-3</v>
      </c>
      <c r="F40" s="20">
        <f t="shared" si="22"/>
        <v>6.0606060606060606E-3</v>
      </c>
      <c r="G40" s="20">
        <f t="shared" si="22"/>
        <v>7.1899340922708206E-3</v>
      </c>
      <c r="H40" s="20">
        <f t="shared" si="22"/>
        <v>5.8268032951577257E-3</v>
      </c>
      <c r="I40" s="20">
        <f t="shared" si="22"/>
        <v>6.6119014225606088E-3</v>
      </c>
      <c r="J40" s="20">
        <f t="shared" si="22"/>
        <v>6.2417249858142615E-3</v>
      </c>
      <c r="K40" s="20">
        <f t="shared" si="22"/>
        <v>7.5024679170779861E-3</v>
      </c>
      <c r="L40" s="20">
        <f t="shared" si="22"/>
        <v>8.3977900552486186E-3</v>
      </c>
      <c r="M40" s="20">
        <f t="shared" si="22"/>
        <v>7.4989866234292666E-3</v>
      </c>
      <c r="N40" s="20">
        <f t="shared" si="22"/>
        <v>7.8110116212611923E-3</v>
      </c>
      <c r="O40" s="20">
        <f t="shared" ref="O40:P40" si="23">IF(O38=0,0,(O39/O38))</f>
        <v>6.7226890756302525E-3</v>
      </c>
      <c r="P40" s="20">
        <f t="shared" si="23"/>
        <v>7.3166270349368937E-3</v>
      </c>
      <c r="Q40" s="20">
        <f t="shared" ref="Q40:R40" si="24">IF(Q38=0,0,(Q39/Q38))</f>
        <v>7.3253193087903833E-3</v>
      </c>
      <c r="R40" s="20">
        <f t="shared" si="24"/>
        <v>5.4325955734406441E-3</v>
      </c>
      <c r="S40" s="20">
        <f t="shared" ref="S40:AF40" si="25">IF(S38=0,0,(S39/S38))</f>
        <v>0</v>
      </c>
      <c r="T40" s="20">
        <f t="shared" si="25"/>
        <v>5.7842046718576193E-3</v>
      </c>
      <c r="U40" s="20">
        <f t="shared" si="25"/>
        <v>6.132542037586548E-3</v>
      </c>
      <c r="V40" s="20">
        <f t="shared" si="25"/>
        <v>2.5540275049115912E-3</v>
      </c>
      <c r="W40" s="20">
        <f t="shared" si="25"/>
        <v>7.3863636363636362E-3</v>
      </c>
      <c r="X40" s="20">
        <f t="shared" si="25"/>
        <v>8.3018867924528304E-3</v>
      </c>
      <c r="Y40" s="20">
        <f t="shared" si="25"/>
        <v>0</v>
      </c>
      <c r="Z40" s="20">
        <f t="shared" si="25"/>
        <v>0</v>
      </c>
      <c r="AA40" s="20">
        <f t="shared" si="25"/>
        <v>0</v>
      </c>
      <c r="AB40" s="20">
        <f t="shared" si="25"/>
        <v>0</v>
      </c>
      <c r="AC40" s="20">
        <f t="shared" si="25"/>
        <v>0</v>
      </c>
      <c r="AD40" s="20">
        <f t="shared" si="25"/>
        <v>0</v>
      </c>
      <c r="AE40" s="20">
        <f t="shared" si="25"/>
        <v>0</v>
      </c>
      <c r="AF40" s="20">
        <f t="shared" si="25"/>
        <v>0</v>
      </c>
      <c r="AG40" s="14" t="e">
        <f t="shared" ref="AG40" si="26">IF(AG38=0,0,(AG39/AG38))</f>
        <v>#REF!</v>
      </c>
    </row>
    <row r="41" spans="1:33" ht="15" customHeight="1">
      <c r="B41" s="9" t="s">
        <v>30</v>
      </c>
      <c r="C41" s="42">
        <f>'Line - 1'!C41+'Line - 2'!C41</f>
        <v>28</v>
      </c>
      <c r="D41" s="42">
        <f>'Line - 1'!D41+'Line - 2'!D41</f>
        <v>9</v>
      </c>
      <c r="E41" s="42">
        <f>'Line - 1'!E41+'Line - 2'!E41</f>
        <v>9</v>
      </c>
      <c r="F41" s="42">
        <f>'Line - 1'!F41+'Line - 2'!F41</f>
        <v>2</v>
      </c>
      <c r="G41" s="42">
        <f>'Line - 1'!G41+'Line - 2'!G41</f>
        <v>5</v>
      </c>
      <c r="H41" s="42">
        <f>'Line - 1'!H41+'Line - 2'!H41</f>
        <v>4</v>
      </c>
      <c r="I41" s="42">
        <f>'Line - 1'!I41+'Line - 2'!I41</f>
        <v>10</v>
      </c>
      <c r="J41" s="42">
        <f>'Line - 1'!J41+'Line - 2'!J41</f>
        <v>8</v>
      </c>
      <c r="K41" s="42">
        <f>'Line - 1'!K41+'Line - 2'!K41</f>
        <v>11</v>
      </c>
      <c r="L41" s="42">
        <f>'Line - 1'!L41+'Line - 2'!L41</f>
        <v>3</v>
      </c>
      <c r="M41" s="42">
        <f>'Line - 1'!M41+'Line - 2'!M41</f>
        <v>5</v>
      </c>
      <c r="N41" s="42">
        <f>'Line - 1'!N41+'Line - 2'!N41</f>
        <v>1</v>
      </c>
      <c r="O41" s="42">
        <f>'Line - 1'!O41+'Line - 2'!O41</f>
        <v>4</v>
      </c>
      <c r="P41" s="42">
        <f>'Line - 1'!P41+'Line - 2'!P41</f>
        <v>12</v>
      </c>
      <c r="Q41" s="42">
        <f>'Line - 1'!Q41+'Line - 2'!Q41</f>
        <v>18</v>
      </c>
      <c r="R41" s="42">
        <f>'Line - 1'!R41+'Line - 2'!R41</f>
        <v>3</v>
      </c>
      <c r="S41" s="42">
        <f>'Line - 1'!S41+'Line - 2'!S41</f>
        <v>0</v>
      </c>
      <c r="T41" s="42">
        <f>'Line - 1'!T41+'Line - 2'!T41</f>
        <v>5</v>
      </c>
      <c r="U41" s="42">
        <f>'Line - 1'!U41+'Line - 2'!U41</f>
        <v>7</v>
      </c>
      <c r="V41" s="42">
        <f>'Line - 1'!V41+'Line - 2'!V41</f>
        <v>1</v>
      </c>
      <c r="W41" s="42">
        <f>'Line - 1'!W41+'Line - 2'!W41</f>
        <v>8</v>
      </c>
      <c r="X41" s="42">
        <f>'Line - 1'!X41+'Line - 2'!X41</f>
        <v>18</v>
      </c>
      <c r="Y41" s="42">
        <f>'Line - 1'!Y41+'Line - 2'!Y41</f>
        <v>0</v>
      </c>
      <c r="Z41" s="42">
        <f>'Line - 1'!Z41+'Line - 2'!Z41</f>
        <v>0</v>
      </c>
      <c r="AA41" s="42">
        <f>'Line - 1'!AA41+'Line - 2'!AA41</f>
        <v>0</v>
      </c>
      <c r="AB41" s="42">
        <f>'Line - 1'!AB41+'Line - 2'!AB41</f>
        <v>0</v>
      </c>
      <c r="AC41" s="42">
        <f>'Line - 1'!AC41+'Line - 2'!AC41</f>
        <v>0</v>
      </c>
      <c r="AD41" s="42">
        <f>'Line - 1'!AD41+'Line - 2'!AD41</f>
        <v>0</v>
      </c>
      <c r="AE41" s="42">
        <f>'Line - 1'!AE41+'Line - 2'!AE41</f>
        <v>0</v>
      </c>
      <c r="AF41" s="42">
        <f>'Line - 1'!AF41+'Line - 2'!AF41</f>
        <v>0</v>
      </c>
      <c r="AG41" s="30">
        <f t="shared" ref="AG41:AG67" si="27">+SUM(C41:AF41)</f>
        <v>171</v>
      </c>
    </row>
    <row r="42" spans="1:33" ht="15" customHeight="1">
      <c r="B42" s="21" t="s">
        <v>31</v>
      </c>
      <c r="C42" s="42">
        <f>'Line - 1'!C42+'Line - 2'!C42</f>
        <v>0</v>
      </c>
      <c r="D42" s="42">
        <f>'Line - 1'!D42+'Line - 2'!D42</f>
        <v>0</v>
      </c>
      <c r="E42" s="42">
        <f>'Line - 1'!E42+'Line - 2'!E42</f>
        <v>0</v>
      </c>
      <c r="F42" s="42">
        <f>'Line - 1'!F42+'Line - 2'!F42</f>
        <v>2</v>
      </c>
      <c r="G42" s="42">
        <f>'Line - 1'!G42+'Line - 2'!G42</f>
        <v>0</v>
      </c>
      <c r="H42" s="42">
        <f>'Line - 1'!H42+'Line - 2'!H42</f>
        <v>0</v>
      </c>
      <c r="I42" s="42">
        <f>'Line - 1'!I42+'Line - 2'!I42</f>
        <v>0</v>
      </c>
      <c r="J42" s="42">
        <f>'Line - 1'!J42+'Line - 2'!J42</f>
        <v>0</v>
      </c>
      <c r="K42" s="42">
        <f>'Line - 1'!K42+'Line - 2'!K42</f>
        <v>0</v>
      </c>
      <c r="L42" s="42">
        <f>'Line - 1'!L42+'Line - 2'!L42</f>
        <v>0</v>
      </c>
      <c r="M42" s="42">
        <f>'Line - 1'!M42+'Line - 2'!M42</f>
        <v>0</v>
      </c>
      <c r="N42" s="42">
        <f>'Line - 1'!N42+'Line - 2'!N42</f>
        <v>0</v>
      </c>
      <c r="O42" s="42">
        <f>'Line - 1'!O42+'Line - 2'!O42</f>
        <v>0</v>
      </c>
      <c r="P42" s="42">
        <f>'Line - 1'!P42+'Line - 2'!P42</f>
        <v>0</v>
      </c>
      <c r="Q42" s="42">
        <f>'Line - 1'!Q42+'Line - 2'!Q42</f>
        <v>0</v>
      </c>
      <c r="R42" s="42">
        <f>'Line - 1'!R42+'Line - 2'!R42</f>
        <v>0</v>
      </c>
      <c r="S42" s="42">
        <f>'Line - 1'!S42+'Line - 2'!S42</f>
        <v>0</v>
      </c>
      <c r="T42" s="42">
        <f>'Line - 1'!T42+'Line - 2'!T42</f>
        <v>0</v>
      </c>
      <c r="U42" s="42">
        <f>'Line - 1'!U42+'Line - 2'!U42</f>
        <v>0</v>
      </c>
      <c r="V42" s="42">
        <f>'Line - 1'!V42+'Line - 2'!V42</f>
        <v>0</v>
      </c>
      <c r="W42" s="42">
        <f>'Line - 1'!W42+'Line - 2'!W42</f>
        <v>0</v>
      </c>
      <c r="X42" s="42">
        <f>'Line - 1'!X42+'Line - 2'!X42</f>
        <v>0</v>
      </c>
      <c r="Y42" s="42">
        <f>'Line - 1'!Y42+'Line - 2'!Y42</f>
        <v>0</v>
      </c>
      <c r="Z42" s="42">
        <f>'Line - 1'!Z42+'Line - 2'!Z42</f>
        <v>0</v>
      </c>
      <c r="AA42" s="42">
        <f>'Line - 1'!AA42+'Line - 2'!AA42</f>
        <v>0</v>
      </c>
      <c r="AB42" s="42">
        <f>'Line - 1'!AB42+'Line - 2'!AB42</f>
        <v>0</v>
      </c>
      <c r="AC42" s="42">
        <f>'Line - 1'!AC42+'Line - 2'!AC42</f>
        <v>0</v>
      </c>
      <c r="AD42" s="42">
        <f>'Line - 1'!AD42+'Line - 2'!AD42</f>
        <v>0</v>
      </c>
      <c r="AE42" s="42">
        <f>'Line - 1'!AE42+'Line - 2'!AE42</f>
        <v>0</v>
      </c>
      <c r="AF42" s="42">
        <f>'Line - 1'!AF42+'Line - 2'!AF42</f>
        <v>0</v>
      </c>
      <c r="AG42" s="30">
        <f t="shared" si="27"/>
        <v>2</v>
      </c>
    </row>
    <row r="43" spans="1:33" ht="15" customHeight="1">
      <c r="B43" s="21" t="s">
        <v>32</v>
      </c>
      <c r="C43" s="42">
        <f>'Line - 1'!C43+'Line - 2'!C43</f>
        <v>0</v>
      </c>
      <c r="D43" s="42">
        <f>'Line - 1'!D43+'Line - 2'!D43</f>
        <v>0</v>
      </c>
      <c r="E43" s="42">
        <f>'Line - 1'!E43+'Line - 2'!E43</f>
        <v>0</v>
      </c>
      <c r="F43" s="42">
        <f>'Line - 1'!F43+'Line - 2'!F43</f>
        <v>0</v>
      </c>
      <c r="G43" s="42">
        <f>'Line - 1'!G43+'Line - 2'!G43</f>
        <v>0</v>
      </c>
      <c r="H43" s="42">
        <f>'Line - 1'!H43+'Line - 2'!H43</f>
        <v>0</v>
      </c>
      <c r="I43" s="42">
        <f>'Line - 1'!I43+'Line - 2'!I43</f>
        <v>0</v>
      </c>
      <c r="J43" s="42">
        <f>'Line - 1'!J43+'Line - 2'!J43</f>
        <v>0</v>
      </c>
      <c r="K43" s="42">
        <f>'Line - 1'!K43+'Line - 2'!K43</f>
        <v>2</v>
      </c>
      <c r="L43" s="42">
        <f>'Line - 1'!L43+'Line - 2'!L43</f>
        <v>0</v>
      </c>
      <c r="M43" s="42">
        <f>'Line - 1'!M43+'Line - 2'!M43</f>
        <v>0</v>
      </c>
      <c r="N43" s="42">
        <f>'Line - 1'!N43+'Line - 2'!N43</f>
        <v>0</v>
      </c>
      <c r="O43" s="42">
        <f>'Line - 1'!O43+'Line - 2'!O43</f>
        <v>0</v>
      </c>
      <c r="P43" s="42">
        <f>'Line - 1'!P43+'Line - 2'!P43</f>
        <v>0</v>
      </c>
      <c r="Q43" s="42">
        <f>'Line - 1'!Q43+'Line - 2'!Q43</f>
        <v>0</v>
      </c>
      <c r="R43" s="42">
        <f>'Line - 1'!R43+'Line - 2'!R43</f>
        <v>0</v>
      </c>
      <c r="S43" s="42">
        <f>'Line - 1'!S43+'Line - 2'!S43</f>
        <v>0</v>
      </c>
      <c r="T43" s="42">
        <f>'Line - 1'!T43+'Line - 2'!T43</f>
        <v>0</v>
      </c>
      <c r="U43" s="42">
        <f>'Line - 1'!U43+'Line - 2'!U43</f>
        <v>0</v>
      </c>
      <c r="V43" s="42">
        <f>'Line - 1'!V43+'Line - 2'!V43</f>
        <v>1</v>
      </c>
      <c r="W43" s="42">
        <f>'Line - 1'!W43+'Line - 2'!W43</f>
        <v>0</v>
      </c>
      <c r="X43" s="42">
        <f>'Line - 1'!X43+'Line - 2'!X43</f>
        <v>1</v>
      </c>
      <c r="Y43" s="42">
        <f>'Line - 1'!Y43+'Line - 2'!Y43</f>
        <v>0</v>
      </c>
      <c r="Z43" s="42">
        <f>'Line - 1'!Z43+'Line - 2'!Z43</f>
        <v>0</v>
      </c>
      <c r="AA43" s="42">
        <f>'Line - 1'!AA43+'Line - 2'!AA43</f>
        <v>0</v>
      </c>
      <c r="AB43" s="42">
        <f>'Line - 1'!AB43+'Line - 2'!AB43</f>
        <v>0</v>
      </c>
      <c r="AC43" s="42">
        <f>'Line - 1'!AC43+'Line - 2'!AC43</f>
        <v>0</v>
      </c>
      <c r="AD43" s="42">
        <f>'Line - 1'!AD43+'Line - 2'!AD43</f>
        <v>0</v>
      </c>
      <c r="AE43" s="42">
        <f>'Line - 1'!AE43+'Line - 2'!AE43</f>
        <v>0</v>
      </c>
      <c r="AF43" s="42">
        <f>'Line - 1'!AF43+'Line - 2'!AF43</f>
        <v>0</v>
      </c>
      <c r="AG43" s="30">
        <f t="shared" si="27"/>
        <v>4</v>
      </c>
    </row>
    <row r="44" spans="1:33" ht="15" customHeight="1">
      <c r="B44" s="9" t="s">
        <v>17</v>
      </c>
      <c r="C44" s="42">
        <f>'Line - 1'!C44+'Line - 2'!C44</f>
        <v>1</v>
      </c>
      <c r="D44" s="42">
        <f>'Line - 1'!D44+'Line - 2'!D44</f>
        <v>2</v>
      </c>
      <c r="E44" s="42">
        <f>'Line - 1'!E44+'Line - 2'!E44</f>
        <v>5</v>
      </c>
      <c r="F44" s="42">
        <f>'Line - 1'!F44+'Line - 2'!F44</f>
        <v>4</v>
      </c>
      <c r="G44" s="42">
        <f>'Line - 1'!G44+'Line - 2'!G44</f>
        <v>0</v>
      </c>
      <c r="H44" s="42">
        <f>'Line - 1'!H44+'Line - 2'!H44</f>
        <v>0</v>
      </c>
      <c r="I44" s="42">
        <f>'Line - 1'!I44+'Line - 2'!I44</f>
        <v>1</v>
      </c>
      <c r="J44" s="42">
        <f>'Line - 1'!J44+'Line - 2'!J44</f>
        <v>1</v>
      </c>
      <c r="K44" s="42">
        <f>'Line - 1'!K44+'Line - 2'!K44</f>
        <v>0</v>
      </c>
      <c r="L44" s="42">
        <f>'Line - 1'!L44+'Line - 2'!L44</f>
        <v>2</v>
      </c>
      <c r="M44" s="42">
        <f>'Line - 1'!M44+'Line - 2'!M44</f>
        <v>8</v>
      </c>
      <c r="N44" s="42">
        <f>'Line - 1'!N44+'Line - 2'!N44</f>
        <v>1</v>
      </c>
      <c r="O44" s="42">
        <f>'Line - 1'!O44+'Line - 2'!O44</f>
        <v>0</v>
      </c>
      <c r="P44" s="42">
        <f>'Line - 1'!P44+'Line - 2'!P44</f>
        <v>1</v>
      </c>
      <c r="Q44" s="42">
        <f>'Line - 1'!Q44+'Line - 2'!Q44</f>
        <v>0</v>
      </c>
      <c r="R44" s="42">
        <f>'Line - 1'!R44+'Line - 2'!R44</f>
        <v>0</v>
      </c>
      <c r="S44" s="42">
        <f>'Line - 1'!S44+'Line - 2'!S44</f>
        <v>0</v>
      </c>
      <c r="T44" s="42">
        <f>'Line - 1'!T44+'Line - 2'!T44</f>
        <v>1</v>
      </c>
      <c r="U44" s="42">
        <f>'Line - 1'!U44+'Line - 2'!U44</f>
        <v>2</v>
      </c>
      <c r="V44" s="42">
        <f>'Line - 1'!V44+'Line - 2'!V44</f>
        <v>0</v>
      </c>
      <c r="W44" s="42">
        <f>'Line - 1'!W44+'Line - 2'!W44</f>
        <v>1</v>
      </c>
      <c r="X44" s="42">
        <f>'Line - 1'!X44+'Line - 2'!X44</f>
        <v>2</v>
      </c>
      <c r="Y44" s="42">
        <f>'Line - 1'!Y44+'Line - 2'!Y44</f>
        <v>0</v>
      </c>
      <c r="Z44" s="42">
        <f>'Line - 1'!Z44+'Line - 2'!Z44</f>
        <v>0</v>
      </c>
      <c r="AA44" s="42">
        <f>'Line - 1'!AA44+'Line - 2'!AA44</f>
        <v>0</v>
      </c>
      <c r="AB44" s="42">
        <f>'Line - 1'!AB44+'Line - 2'!AB44</f>
        <v>0</v>
      </c>
      <c r="AC44" s="42">
        <f>'Line - 1'!AC44+'Line - 2'!AC44</f>
        <v>0</v>
      </c>
      <c r="AD44" s="42">
        <f>'Line - 1'!AD44+'Line - 2'!AD44</f>
        <v>0</v>
      </c>
      <c r="AE44" s="42">
        <f>'Line - 1'!AE44+'Line - 2'!AE44</f>
        <v>0</v>
      </c>
      <c r="AF44" s="42">
        <f>'Line - 1'!AF44+'Line - 2'!AF44</f>
        <v>0</v>
      </c>
      <c r="AG44" s="30">
        <f t="shared" si="27"/>
        <v>32</v>
      </c>
    </row>
    <row r="45" spans="1:33" ht="15" customHeight="1">
      <c r="B45" s="9" t="s">
        <v>33</v>
      </c>
      <c r="C45" s="42">
        <f>'Line - 1'!C45+'Line - 2'!C45</f>
        <v>1</v>
      </c>
      <c r="D45" s="42">
        <f>'Line - 1'!D45+'Line - 2'!D45</f>
        <v>5</v>
      </c>
      <c r="E45" s="42">
        <f>'Line - 1'!E45+'Line - 2'!E45</f>
        <v>4</v>
      </c>
      <c r="F45" s="42">
        <f>'Line - 1'!F45+'Line - 2'!F45</f>
        <v>4</v>
      </c>
      <c r="G45" s="42">
        <f>'Line - 1'!G45+'Line - 2'!G45</f>
        <v>6</v>
      </c>
      <c r="H45" s="42">
        <f>'Line - 1'!H45+'Line - 2'!H45</f>
        <v>5</v>
      </c>
      <c r="I45" s="42">
        <f>'Line - 1'!I45+'Line - 2'!I45</f>
        <v>6</v>
      </c>
      <c r="J45" s="42">
        <f>'Line - 1'!J45+'Line - 2'!J45</f>
        <v>6</v>
      </c>
      <c r="K45" s="42">
        <f>'Line - 1'!K45+'Line - 2'!K45</f>
        <v>8</v>
      </c>
      <c r="L45" s="42">
        <f>'Line - 1'!L45+'Line - 2'!L45</f>
        <v>10</v>
      </c>
      <c r="M45" s="42">
        <f>'Line - 1'!M45+'Line - 2'!M45</f>
        <v>3</v>
      </c>
      <c r="N45" s="42">
        <f>'Line - 1'!N45+'Line - 2'!N45</f>
        <v>3</v>
      </c>
      <c r="O45" s="42">
        <f>'Line - 1'!O45+'Line - 2'!O45</f>
        <v>4</v>
      </c>
      <c r="P45" s="42">
        <f>'Line - 1'!P45+'Line - 2'!P45</f>
        <v>12</v>
      </c>
      <c r="Q45" s="42">
        <f>'Line - 1'!Q45+'Line - 2'!Q45</f>
        <v>6</v>
      </c>
      <c r="R45" s="42">
        <f>'Line - 1'!R45+'Line - 2'!R45</f>
        <v>13</v>
      </c>
      <c r="S45" s="42">
        <f>'Line - 1'!S45+'Line - 2'!S45</f>
        <v>0</v>
      </c>
      <c r="T45" s="42">
        <f>'Line - 1'!T45+'Line - 2'!T45</f>
        <v>7</v>
      </c>
      <c r="U45" s="42">
        <f>'Line - 1'!U45+'Line - 2'!U45</f>
        <v>1</v>
      </c>
      <c r="V45" s="42">
        <f>'Line - 1'!V45+'Line - 2'!V45</f>
        <v>1</v>
      </c>
      <c r="W45" s="42">
        <f>'Line - 1'!W45+'Line - 2'!W45</f>
        <v>9</v>
      </c>
      <c r="X45" s="42">
        <f>'Line - 1'!X45+'Line - 2'!X45</f>
        <v>3</v>
      </c>
      <c r="Y45" s="42">
        <f>'Line - 1'!Y45+'Line - 2'!Y45</f>
        <v>0</v>
      </c>
      <c r="Z45" s="42">
        <f>'Line - 1'!Z45+'Line - 2'!Z45</f>
        <v>0</v>
      </c>
      <c r="AA45" s="42">
        <f>'Line - 1'!AA45+'Line - 2'!AA45</f>
        <v>0</v>
      </c>
      <c r="AB45" s="42">
        <f>'Line - 1'!AB45+'Line - 2'!AB45</f>
        <v>0</v>
      </c>
      <c r="AC45" s="42">
        <f>'Line - 1'!AC45+'Line - 2'!AC45</f>
        <v>0</v>
      </c>
      <c r="AD45" s="42">
        <f>'Line - 1'!AD45+'Line - 2'!AD45</f>
        <v>0</v>
      </c>
      <c r="AE45" s="42">
        <f>'Line - 1'!AE45+'Line - 2'!AE45</f>
        <v>0</v>
      </c>
      <c r="AF45" s="42">
        <f>'Line - 1'!AF45+'Line - 2'!AF45</f>
        <v>0</v>
      </c>
      <c r="AG45" s="30">
        <f t="shared" si="27"/>
        <v>117</v>
      </c>
    </row>
    <row r="46" spans="1:33" ht="15" customHeight="1">
      <c r="B46" s="9" t="s">
        <v>34</v>
      </c>
      <c r="C46" s="42">
        <f>'Line - 1'!C46+'Line - 2'!C46</f>
        <v>2</v>
      </c>
      <c r="D46" s="42">
        <f>'Line - 1'!D46+'Line - 2'!D46</f>
        <v>1</v>
      </c>
      <c r="E46" s="42">
        <f>'Line - 1'!E46+'Line - 2'!E46</f>
        <v>1</v>
      </c>
      <c r="F46" s="42">
        <f>'Line - 1'!F46+'Line - 2'!F46</f>
        <v>0</v>
      </c>
      <c r="G46" s="42">
        <f>'Line - 1'!G46+'Line - 2'!G46</f>
        <v>0</v>
      </c>
      <c r="H46" s="42">
        <f>'Line - 1'!H46+'Line - 2'!H46</f>
        <v>0</v>
      </c>
      <c r="I46" s="42">
        <f>'Line - 1'!I46+'Line - 2'!I46</f>
        <v>2</v>
      </c>
      <c r="J46" s="42">
        <f>'Line - 1'!J46+'Line - 2'!J46</f>
        <v>1</v>
      </c>
      <c r="K46" s="42">
        <f>'Line - 1'!K46+'Line - 2'!K46</f>
        <v>0</v>
      </c>
      <c r="L46" s="42">
        <f>'Line - 1'!L46+'Line - 2'!L46</f>
        <v>1</v>
      </c>
      <c r="M46" s="42">
        <f>'Line - 1'!M46+'Line - 2'!M46</f>
        <v>0</v>
      </c>
      <c r="N46" s="42">
        <f>'Line - 1'!N46+'Line - 2'!N46</f>
        <v>0</v>
      </c>
      <c r="O46" s="42">
        <f>'Line - 1'!O46+'Line - 2'!O46</f>
        <v>0</v>
      </c>
      <c r="P46" s="42">
        <f>'Line - 1'!P46+'Line - 2'!P46</f>
        <v>0</v>
      </c>
      <c r="Q46" s="42">
        <f>'Line - 1'!Q46+'Line - 2'!Q46</f>
        <v>1</v>
      </c>
      <c r="R46" s="42">
        <f>'Line - 1'!R46+'Line - 2'!R46</f>
        <v>1</v>
      </c>
      <c r="S46" s="42">
        <f>'Line - 1'!S46+'Line - 2'!S46</f>
        <v>0</v>
      </c>
      <c r="T46" s="42">
        <f>'Line - 1'!T46+'Line - 2'!T46</f>
        <v>1</v>
      </c>
      <c r="U46" s="42">
        <f>'Line - 1'!U46+'Line - 2'!U46</f>
        <v>0</v>
      </c>
      <c r="V46" s="42">
        <f>'Line - 1'!V46+'Line - 2'!V46</f>
        <v>0</v>
      </c>
      <c r="W46" s="42">
        <f>'Line - 1'!W46+'Line - 2'!W46</f>
        <v>0</v>
      </c>
      <c r="X46" s="42">
        <f>'Line - 1'!X46+'Line - 2'!X46</f>
        <v>0</v>
      </c>
      <c r="Y46" s="42">
        <f>'Line - 1'!Y46+'Line - 2'!Y46</f>
        <v>0</v>
      </c>
      <c r="Z46" s="42">
        <f>'Line - 1'!Z46+'Line - 2'!Z46</f>
        <v>0</v>
      </c>
      <c r="AA46" s="42">
        <f>'Line - 1'!AA46+'Line - 2'!AA46</f>
        <v>0</v>
      </c>
      <c r="AB46" s="42">
        <f>'Line - 1'!AB46+'Line - 2'!AB46</f>
        <v>0</v>
      </c>
      <c r="AC46" s="42">
        <f>'Line - 1'!AC46+'Line - 2'!AC46</f>
        <v>0</v>
      </c>
      <c r="AD46" s="42">
        <f>'Line - 1'!AD46+'Line - 2'!AD46</f>
        <v>0</v>
      </c>
      <c r="AE46" s="42">
        <f>'Line - 1'!AE46+'Line - 2'!AE46</f>
        <v>0</v>
      </c>
      <c r="AF46" s="42">
        <f>'Line - 1'!AF46+'Line - 2'!AF46</f>
        <v>0</v>
      </c>
      <c r="AG46" s="30">
        <f t="shared" si="27"/>
        <v>11</v>
      </c>
    </row>
    <row r="47" spans="1:33" ht="15" customHeight="1">
      <c r="B47" s="11" t="s">
        <v>20</v>
      </c>
      <c r="C47" s="42">
        <f>'Line - 1'!C47+'Line - 2'!C47</f>
        <v>0</v>
      </c>
      <c r="D47" s="42">
        <f>'Line - 1'!D47+'Line - 2'!D47</f>
        <v>0</v>
      </c>
      <c r="E47" s="42">
        <f>'Line - 1'!E47+'Line - 2'!E47</f>
        <v>0</v>
      </c>
      <c r="F47" s="42">
        <f>'Line - 1'!F47+'Line - 2'!F47</f>
        <v>0</v>
      </c>
      <c r="G47" s="42">
        <f>'Line - 1'!G47+'Line - 2'!G47</f>
        <v>0</v>
      </c>
      <c r="H47" s="42">
        <f>'Line - 1'!H47+'Line - 2'!H47</f>
        <v>0</v>
      </c>
      <c r="I47" s="42">
        <f>'Line - 1'!I47+'Line - 2'!I47</f>
        <v>0</v>
      </c>
      <c r="J47" s="42">
        <f>'Line - 1'!J47+'Line - 2'!J47</f>
        <v>2</v>
      </c>
      <c r="K47" s="42">
        <f>'Line - 1'!K47+'Line - 2'!K47</f>
        <v>0</v>
      </c>
      <c r="L47" s="42">
        <f>'Line - 1'!L47+'Line - 2'!L47</f>
        <v>0</v>
      </c>
      <c r="M47" s="42">
        <f>'Line - 1'!M47+'Line - 2'!M47</f>
        <v>0</v>
      </c>
      <c r="N47" s="42">
        <f>'Line - 1'!N47+'Line - 2'!N47</f>
        <v>1</v>
      </c>
      <c r="O47" s="42">
        <f>'Line - 1'!O47+'Line - 2'!O47</f>
        <v>1</v>
      </c>
      <c r="P47" s="42">
        <f>'Line - 1'!P47+'Line - 2'!P47</f>
        <v>0</v>
      </c>
      <c r="Q47" s="42">
        <f>'Line - 1'!Q47+'Line - 2'!Q47</f>
        <v>0</v>
      </c>
      <c r="R47" s="42">
        <f>'Line - 1'!R47+'Line - 2'!R47</f>
        <v>0</v>
      </c>
      <c r="S47" s="42">
        <f>'Line - 1'!S47+'Line - 2'!S47</f>
        <v>0</v>
      </c>
      <c r="T47" s="42">
        <f>'Line - 1'!T47+'Line - 2'!T47</f>
        <v>0</v>
      </c>
      <c r="U47" s="42">
        <f>'Line - 1'!U47+'Line - 2'!U47</f>
        <v>0</v>
      </c>
      <c r="V47" s="42">
        <f>'Line - 1'!V47+'Line - 2'!V47</f>
        <v>0</v>
      </c>
      <c r="W47" s="42">
        <f>'Line - 1'!W47+'Line - 2'!W47</f>
        <v>0</v>
      </c>
      <c r="X47" s="42">
        <f>'Line - 1'!X47+'Line - 2'!X47</f>
        <v>0</v>
      </c>
      <c r="Y47" s="42">
        <f>'Line - 1'!Y47+'Line - 2'!Y47</f>
        <v>0</v>
      </c>
      <c r="Z47" s="42">
        <f>'Line - 1'!Z47+'Line - 2'!Z47</f>
        <v>0</v>
      </c>
      <c r="AA47" s="42">
        <f>'Line - 1'!AA47+'Line - 2'!AA47</f>
        <v>0</v>
      </c>
      <c r="AB47" s="42">
        <f>'Line - 1'!AB47+'Line - 2'!AB47</f>
        <v>0</v>
      </c>
      <c r="AC47" s="42">
        <f>'Line - 1'!AC47+'Line - 2'!AC47</f>
        <v>0</v>
      </c>
      <c r="AD47" s="42">
        <f>'Line - 1'!AD47+'Line - 2'!AD47</f>
        <v>0</v>
      </c>
      <c r="AE47" s="42">
        <f>'Line - 1'!AE47+'Line - 2'!AE47</f>
        <v>0</v>
      </c>
      <c r="AF47" s="42">
        <f>'Line - 1'!AF47+'Line - 2'!AF47</f>
        <v>0</v>
      </c>
      <c r="AG47" s="30">
        <f t="shared" si="27"/>
        <v>4</v>
      </c>
    </row>
    <row r="48" spans="1:33" ht="15" customHeight="1">
      <c r="B48" s="9" t="s">
        <v>35</v>
      </c>
      <c r="C48" s="42">
        <f>'Line - 1'!C48+'Line - 2'!C48</f>
        <v>0</v>
      </c>
      <c r="D48" s="42">
        <f>'Line - 1'!D48+'Line - 2'!D48</f>
        <v>4</v>
      </c>
      <c r="E48" s="42">
        <f>'Line - 1'!E48+'Line - 2'!E48</f>
        <v>2</v>
      </c>
      <c r="F48" s="42">
        <f>'Line - 1'!F48+'Line - 2'!F48</f>
        <v>2</v>
      </c>
      <c r="G48" s="42">
        <f>'Line - 1'!G48+'Line - 2'!G48</f>
        <v>0</v>
      </c>
      <c r="H48" s="42">
        <f>'Line - 1'!H48+'Line - 2'!H48</f>
        <v>0</v>
      </c>
      <c r="I48" s="42">
        <f>'Line - 1'!I48+'Line - 2'!I48</f>
        <v>0</v>
      </c>
      <c r="J48" s="42">
        <f>'Line - 1'!J48+'Line - 2'!J48</f>
        <v>0</v>
      </c>
      <c r="K48" s="42">
        <f>'Line - 1'!K48+'Line - 2'!K48</f>
        <v>0</v>
      </c>
      <c r="L48" s="42">
        <f>'Line - 1'!L48+'Line - 2'!L48</f>
        <v>0</v>
      </c>
      <c r="M48" s="42">
        <f>'Line - 1'!M48+'Line - 2'!M48</f>
        <v>1</v>
      </c>
      <c r="N48" s="42">
        <f>'Line - 1'!N48+'Line - 2'!N48</f>
        <v>0</v>
      </c>
      <c r="O48" s="42">
        <f>'Line - 1'!O48+'Line - 2'!O48</f>
        <v>0</v>
      </c>
      <c r="P48" s="42">
        <f>'Line - 1'!P48+'Line - 2'!P48</f>
        <v>3</v>
      </c>
      <c r="Q48" s="42">
        <f>'Line - 1'!Q48+'Line - 2'!Q48</f>
        <v>0</v>
      </c>
      <c r="R48" s="42">
        <f>'Line - 1'!R48+'Line - 2'!R48</f>
        <v>3</v>
      </c>
      <c r="S48" s="42">
        <f>'Line - 1'!S48+'Line - 2'!S48</f>
        <v>0</v>
      </c>
      <c r="T48" s="42">
        <f>'Line - 1'!T48+'Line - 2'!T48</f>
        <v>0</v>
      </c>
      <c r="U48" s="42">
        <f>'Line - 1'!U48+'Line - 2'!U48</f>
        <v>2</v>
      </c>
      <c r="V48" s="42">
        <f>'Line - 1'!V48+'Line - 2'!V48</f>
        <v>0</v>
      </c>
      <c r="W48" s="42">
        <f>'Line - 1'!W48+'Line - 2'!W48</f>
        <v>3</v>
      </c>
      <c r="X48" s="42">
        <f>'Line - 1'!X48+'Line - 2'!X48</f>
        <v>0</v>
      </c>
      <c r="Y48" s="42">
        <f>'Line - 1'!Y48+'Line - 2'!Y48</f>
        <v>0</v>
      </c>
      <c r="Z48" s="42">
        <f>'Line - 1'!Z48+'Line - 2'!Z48</f>
        <v>0</v>
      </c>
      <c r="AA48" s="42">
        <f>'Line - 1'!AA48+'Line - 2'!AA48</f>
        <v>0</v>
      </c>
      <c r="AB48" s="42">
        <f>'Line - 1'!AB48+'Line - 2'!AB48</f>
        <v>0</v>
      </c>
      <c r="AC48" s="42">
        <f>'Line - 1'!AC48+'Line - 2'!AC48</f>
        <v>0</v>
      </c>
      <c r="AD48" s="42">
        <f>'Line - 1'!AD48+'Line - 2'!AD48</f>
        <v>0</v>
      </c>
      <c r="AE48" s="42">
        <f>'Line - 1'!AE48+'Line - 2'!AE48</f>
        <v>0</v>
      </c>
      <c r="AF48" s="42">
        <f>'Line - 1'!AF48+'Line - 2'!AF48</f>
        <v>0</v>
      </c>
      <c r="AG48" s="30">
        <f t="shared" si="27"/>
        <v>20</v>
      </c>
    </row>
    <row r="49" spans="2:33" ht="15" customHeight="1">
      <c r="B49" s="9" t="s">
        <v>28</v>
      </c>
      <c r="C49" s="42">
        <f>'Line - 1'!C49+'Line - 2'!C49</f>
        <v>3</v>
      </c>
      <c r="D49" s="42">
        <f>'Line - 1'!D49+'Line - 2'!D49</f>
        <v>3</v>
      </c>
      <c r="E49" s="42">
        <f>'Line - 1'!E49+'Line - 2'!E49</f>
        <v>4</v>
      </c>
      <c r="F49" s="42">
        <f>'Line - 1'!F49+'Line - 2'!F49</f>
        <v>4</v>
      </c>
      <c r="G49" s="42">
        <f>'Line - 1'!G49+'Line - 2'!G49</f>
        <v>15</v>
      </c>
      <c r="H49" s="42">
        <f>'Line - 1'!H49+'Line - 2'!H49</f>
        <v>7</v>
      </c>
      <c r="I49" s="42">
        <f>'Line - 1'!I49+'Line - 2'!I49</f>
        <v>3</v>
      </c>
      <c r="J49" s="42">
        <f>'Line - 1'!J49+'Line - 2'!J49</f>
        <v>5</v>
      </c>
      <c r="K49" s="42">
        <f>'Line - 1'!K49+'Line - 2'!K49</f>
        <v>6</v>
      </c>
      <c r="L49" s="42">
        <f>'Line - 1'!L49+'Line - 2'!L49</f>
        <v>5</v>
      </c>
      <c r="M49" s="42">
        <f>'Line - 1'!M49+'Line - 2'!M49</f>
        <v>8</v>
      </c>
      <c r="N49" s="42">
        <f>'Line - 1'!N49+'Line - 2'!N49</f>
        <v>14</v>
      </c>
      <c r="O49" s="42">
        <f>'Line - 1'!O49+'Line - 2'!O49</f>
        <v>23</v>
      </c>
      <c r="P49" s="42">
        <f>'Line - 1'!P49+'Line - 2'!P49</f>
        <v>2</v>
      </c>
      <c r="Q49" s="42">
        <f>'Line - 1'!Q49+'Line - 2'!Q49</f>
        <v>2</v>
      </c>
      <c r="R49" s="42">
        <f>'Line - 1'!R49+'Line - 2'!R49</f>
        <v>2</v>
      </c>
      <c r="S49" s="42">
        <f>'Line - 1'!S49+'Line - 2'!S49</f>
        <v>0</v>
      </c>
      <c r="T49" s="42">
        <f>'Line - 1'!T49+'Line - 2'!T49</f>
        <v>3</v>
      </c>
      <c r="U49" s="42">
        <f>'Line - 1'!U49+'Line - 2'!U49</f>
        <v>5</v>
      </c>
      <c r="V49" s="42">
        <f>'Line - 1'!V49+'Line - 2'!V49</f>
        <v>2</v>
      </c>
      <c r="W49" s="42">
        <f>'Line - 1'!W49+'Line - 2'!W49</f>
        <v>10</v>
      </c>
      <c r="X49" s="42">
        <f>'Line - 1'!X49+'Line - 2'!X49</f>
        <v>6</v>
      </c>
      <c r="Y49" s="42">
        <f>'Line - 1'!Y49+'Line - 2'!Y49</f>
        <v>0</v>
      </c>
      <c r="Z49" s="42">
        <f>'Line - 1'!Z49+'Line - 2'!Z49</f>
        <v>0</v>
      </c>
      <c r="AA49" s="42">
        <f>'Line - 1'!AA49+'Line - 2'!AA49</f>
        <v>0</v>
      </c>
      <c r="AB49" s="42">
        <f>'Line - 1'!AB49+'Line - 2'!AB49</f>
        <v>0</v>
      </c>
      <c r="AC49" s="42">
        <f>'Line - 1'!AC49+'Line - 2'!AC49</f>
        <v>0</v>
      </c>
      <c r="AD49" s="42">
        <f>'Line - 1'!AD49+'Line - 2'!AD49</f>
        <v>0</v>
      </c>
      <c r="AE49" s="42">
        <f>'Line - 1'!AE49+'Line - 2'!AE49</f>
        <v>0</v>
      </c>
      <c r="AF49" s="42">
        <f>'Line - 1'!AF49+'Line - 2'!AF49</f>
        <v>0</v>
      </c>
      <c r="AG49" s="30">
        <f t="shared" si="27"/>
        <v>132</v>
      </c>
    </row>
    <row r="50" spans="2:33" ht="15" customHeight="1">
      <c r="B50" s="9" t="s">
        <v>36</v>
      </c>
      <c r="C50" s="42">
        <f>'Line - 1'!C50+'Line - 2'!C50</f>
        <v>1</v>
      </c>
      <c r="D50" s="42">
        <f>'Line - 1'!D50+'Line - 2'!D50</f>
        <v>0</v>
      </c>
      <c r="E50" s="42">
        <f>'Line - 1'!E50+'Line - 2'!E50</f>
        <v>0</v>
      </c>
      <c r="F50" s="42">
        <f>'Line - 1'!F50+'Line - 2'!F50</f>
        <v>0</v>
      </c>
      <c r="G50" s="42">
        <f>'Line - 1'!G50+'Line - 2'!G50</f>
        <v>1</v>
      </c>
      <c r="H50" s="42">
        <f>'Line - 1'!H50+'Line - 2'!H50</f>
        <v>0</v>
      </c>
      <c r="I50" s="42">
        <f>'Line - 1'!I50+'Line - 2'!I50</f>
        <v>0</v>
      </c>
      <c r="J50" s="42">
        <f>'Line - 1'!J50+'Line - 2'!J50</f>
        <v>1</v>
      </c>
      <c r="K50" s="42">
        <f>'Line - 1'!K50+'Line - 2'!K50</f>
        <v>0</v>
      </c>
      <c r="L50" s="42">
        <f>'Line - 1'!L50+'Line - 2'!L50</f>
        <v>0</v>
      </c>
      <c r="M50" s="42">
        <f>'Line - 1'!M50+'Line - 2'!M50</f>
        <v>0</v>
      </c>
      <c r="N50" s="42">
        <f>'Line - 1'!N50+'Line - 2'!N50</f>
        <v>0</v>
      </c>
      <c r="O50" s="42">
        <f>'Line - 1'!O50+'Line - 2'!O50</f>
        <v>2</v>
      </c>
      <c r="P50" s="42">
        <f>'Line - 1'!P50+'Line - 2'!P50</f>
        <v>1</v>
      </c>
      <c r="Q50" s="42">
        <f>'Line - 1'!Q50+'Line - 2'!Q50</f>
        <v>1</v>
      </c>
      <c r="R50" s="42">
        <f>'Line - 1'!R50+'Line - 2'!R50</f>
        <v>0</v>
      </c>
      <c r="S50" s="42">
        <f>'Line - 1'!S50+'Line - 2'!S50</f>
        <v>0</v>
      </c>
      <c r="T50" s="42">
        <f>'Line - 1'!T50+'Line - 2'!T50</f>
        <v>2</v>
      </c>
      <c r="U50" s="42">
        <f>'Line - 1'!U50+'Line - 2'!U50</f>
        <v>2</v>
      </c>
      <c r="V50" s="42">
        <f>'Line - 1'!V50+'Line - 2'!V50</f>
        <v>0</v>
      </c>
      <c r="W50" s="42">
        <f>'Line - 1'!W50+'Line - 2'!W50</f>
        <v>0</v>
      </c>
      <c r="X50" s="42">
        <f>'Line - 1'!X50+'Line - 2'!X50</f>
        <v>1</v>
      </c>
      <c r="Y50" s="42">
        <f>'Line - 1'!Y50+'Line - 2'!Y50</f>
        <v>0</v>
      </c>
      <c r="Z50" s="42">
        <f>'Line - 1'!Z50+'Line - 2'!Z50</f>
        <v>0</v>
      </c>
      <c r="AA50" s="42">
        <f>'Line - 1'!AA50+'Line - 2'!AA50</f>
        <v>0</v>
      </c>
      <c r="AB50" s="42">
        <f>'Line - 1'!AB50+'Line - 2'!AB50</f>
        <v>0</v>
      </c>
      <c r="AC50" s="42">
        <f>'Line - 1'!AC50+'Line - 2'!AC50</f>
        <v>0</v>
      </c>
      <c r="AD50" s="42">
        <f>'Line - 1'!AD50+'Line - 2'!AD50</f>
        <v>0</v>
      </c>
      <c r="AE50" s="42">
        <f>'Line - 1'!AE50+'Line - 2'!AE50</f>
        <v>0</v>
      </c>
      <c r="AF50" s="42">
        <f>'Line - 1'!AF50+'Line - 2'!AF50</f>
        <v>0</v>
      </c>
      <c r="AG50" s="30">
        <f t="shared" si="27"/>
        <v>12</v>
      </c>
    </row>
    <row r="51" spans="2:33" ht="15" customHeight="1">
      <c r="B51" s="9" t="s">
        <v>37</v>
      </c>
      <c r="C51" s="42">
        <f>'Line - 1'!C51+'Line - 2'!C51</f>
        <v>0</v>
      </c>
      <c r="D51" s="42">
        <f>'Line - 1'!D51+'Line - 2'!D51</f>
        <v>0</v>
      </c>
      <c r="E51" s="42">
        <f>'Line - 1'!E51+'Line - 2'!E51</f>
        <v>0</v>
      </c>
      <c r="F51" s="42">
        <f>'Line - 1'!F51+'Line - 2'!F51</f>
        <v>1</v>
      </c>
      <c r="G51" s="42">
        <f>'Line - 1'!G51+'Line - 2'!G51</f>
        <v>1</v>
      </c>
      <c r="H51" s="42">
        <f>'Line - 1'!H51+'Line - 2'!H51</f>
        <v>0</v>
      </c>
      <c r="I51" s="42">
        <f>'Line - 1'!I51+'Line - 2'!I51</f>
        <v>1</v>
      </c>
      <c r="J51" s="42">
        <f>'Line - 1'!J51+'Line - 2'!J51</f>
        <v>0</v>
      </c>
      <c r="K51" s="42">
        <f>'Line - 1'!K51+'Line - 2'!K51</f>
        <v>0</v>
      </c>
      <c r="L51" s="42">
        <f>'Line - 1'!L51+'Line - 2'!L51</f>
        <v>1</v>
      </c>
      <c r="M51" s="42">
        <f>'Line - 1'!M51+'Line - 2'!M51</f>
        <v>0</v>
      </c>
      <c r="N51" s="42">
        <f>'Line - 1'!N51+'Line - 2'!N51</f>
        <v>0</v>
      </c>
      <c r="O51" s="42">
        <f>'Line - 1'!O51+'Line - 2'!O51</f>
        <v>0</v>
      </c>
      <c r="P51" s="42">
        <f>'Line - 1'!P51+'Line - 2'!P51</f>
        <v>0</v>
      </c>
      <c r="Q51" s="42">
        <f>'Line - 1'!Q51+'Line - 2'!Q51</f>
        <v>0</v>
      </c>
      <c r="R51" s="42">
        <f>'Line - 1'!R51+'Line - 2'!R51</f>
        <v>0</v>
      </c>
      <c r="S51" s="42">
        <f>'Line - 1'!S51+'Line - 2'!S51</f>
        <v>0</v>
      </c>
      <c r="T51" s="42">
        <f>'Line - 1'!T51+'Line - 2'!T51</f>
        <v>0</v>
      </c>
      <c r="U51" s="42">
        <f>'Line - 1'!U51+'Line - 2'!U51</f>
        <v>0</v>
      </c>
      <c r="V51" s="42">
        <f>'Line - 1'!V51+'Line - 2'!V51</f>
        <v>0</v>
      </c>
      <c r="W51" s="42">
        <f>'Line - 1'!W51+'Line - 2'!W51</f>
        <v>0</v>
      </c>
      <c r="X51" s="42">
        <f>'Line - 1'!X51+'Line - 2'!X51</f>
        <v>0</v>
      </c>
      <c r="Y51" s="42">
        <f>'Line - 1'!Y51+'Line - 2'!Y51</f>
        <v>0</v>
      </c>
      <c r="Z51" s="42">
        <f>'Line - 1'!Z51+'Line - 2'!Z51</f>
        <v>0</v>
      </c>
      <c r="AA51" s="42">
        <f>'Line - 1'!AA51+'Line - 2'!AA51</f>
        <v>0</v>
      </c>
      <c r="AB51" s="42">
        <f>'Line - 1'!AB51+'Line - 2'!AB51</f>
        <v>0</v>
      </c>
      <c r="AC51" s="42">
        <f>'Line - 1'!AC51+'Line - 2'!AC51</f>
        <v>0</v>
      </c>
      <c r="AD51" s="42">
        <f>'Line - 1'!AD51+'Line - 2'!AD51</f>
        <v>0</v>
      </c>
      <c r="AE51" s="42">
        <f>'Line - 1'!AE51+'Line - 2'!AE51</f>
        <v>0</v>
      </c>
      <c r="AF51" s="42">
        <f>'Line - 1'!AF51+'Line - 2'!AF51</f>
        <v>0</v>
      </c>
      <c r="AG51" s="30">
        <f t="shared" si="27"/>
        <v>4</v>
      </c>
    </row>
    <row r="52" spans="2:33" ht="15" customHeight="1">
      <c r="B52" s="9" t="s">
        <v>38</v>
      </c>
      <c r="C52" s="42">
        <f>'Line - 1'!C52+'Line - 2'!C52</f>
        <v>0</v>
      </c>
      <c r="D52" s="42">
        <f>'Line - 1'!D52+'Line - 2'!D52</f>
        <v>0</v>
      </c>
      <c r="E52" s="42">
        <f>'Line - 1'!E52+'Line - 2'!E52</f>
        <v>0</v>
      </c>
      <c r="F52" s="42">
        <f>'Line - 1'!F52+'Line - 2'!F52</f>
        <v>0</v>
      </c>
      <c r="G52" s="42">
        <f>'Line - 1'!G52+'Line - 2'!G52</f>
        <v>0</v>
      </c>
      <c r="H52" s="42">
        <f>'Line - 1'!H52+'Line - 2'!H52</f>
        <v>0</v>
      </c>
      <c r="I52" s="42">
        <f>'Line - 1'!I52+'Line - 2'!I52</f>
        <v>0</v>
      </c>
      <c r="J52" s="42">
        <f>'Line - 1'!J52+'Line - 2'!J52</f>
        <v>0</v>
      </c>
      <c r="K52" s="42">
        <f>'Line - 1'!K52+'Line - 2'!K52</f>
        <v>0</v>
      </c>
      <c r="L52" s="42">
        <f>'Line - 1'!L52+'Line - 2'!L52</f>
        <v>0</v>
      </c>
      <c r="M52" s="42">
        <f>'Line - 1'!M52+'Line - 2'!M52</f>
        <v>1</v>
      </c>
      <c r="N52" s="42">
        <f>'Line - 1'!N52+'Line - 2'!N52</f>
        <v>0</v>
      </c>
      <c r="O52" s="42">
        <f>'Line - 1'!O52+'Line - 2'!O52</f>
        <v>0</v>
      </c>
      <c r="P52" s="42">
        <f>'Line - 1'!P52+'Line - 2'!P52</f>
        <v>0</v>
      </c>
      <c r="Q52" s="42">
        <f>'Line - 1'!Q52+'Line - 2'!Q52</f>
        <v>0</v>
      </c>
      <c r="R52" s="42">
        <f>'Line - 1'!R52+'Line - 2'!R52</f>
        <v>0</v>
      </c>
      <c r="S52" s="42">
        <f>'Line - 1'!S52+'Line - 2'!S52</f>
        <v>0</v>
      </c>
      <c r="T52" s="42">
        <f>'Line - 1'!T52+'Line - 2'!T52</f>
        <v>0</v>
      </c>
      <c r="U52" s="42">
        <f>'Line - 1'!U52+'Line - 2'!U52</f>
        <v>6</v>
      </c>
      <c r="V52" s="42">
        <f>'Line - 1'!V52+'Line - 2'!V52</f>
        <v>0</v>
      </c>
      <c r="W52" s="42">
        <f>'Line - 1'!W52+'Line - 2'!W52</f>
        <v>0</v>
      </c>
      <c r="X52" s="42">
        <f>'Line - 1'!X52+'Line - 2'!X52</f>
        <v>0</v>
      </c>
      <c r="Y52" s="42">
        <f>'Line - 1'!Y52+'Line - 2'!Y52</f>
        <v>0</v>
      </c>
      <c r="Z52" s="42">
        <f>'Line - 1'!Z52+'Line - 2'!Z52</f>
        <v>0</v>
      </c>
      <c r="AA52" s="42">
        <f>'Line - 1'!AA52+'Line - 2'!AA52</f>
        <v>0</v>
      </c>
      <c r="AB52" s="42">
        <f>'Line - 1'!AB52+'Line - 2'!AB52</f>
        <v>0</v>
      </c>
      <c r="AC52" s="42">
        <f>'Line - 1'!AC52+'Line - 2'!AC52</f>
        <v>0</v>
      </c>
      <c r="AD52" s="42">
        <f>'Line - 1'!AD52+'Line - 2'!AD52</f>
        <v>0</v>
      </c>
      <c r="AE52" s="42">
        <f>'Line - 1'!AE52+'Line - 2'!AE52</f>
        <v>0</v>
      </c>
      <c r="AF52" s="42">
        <f>'Line - 1'!AF52+'Line - 2'!AF52</f>
        <v>0</v>
      </c>
      <c r="AG52" s="30">
        <f t="shared" si="27"/>
        <v>7</v>
      </c>
    </row>
    <row r="53" spans="2:33" ht="15" customHeight="1">
      <c r="B53" s="9" t="s">
        <v>39</v>
      </c>
      <c r="C53" s="42">
        <f>'Line - 1'!C53+'Line - 2'!C53</f>
        <v>0</v>
      </c>
      <c r="D53" s="42">
        <f>'Line - 1'!D53+'Line - 2'!D53</f>
        <v>0</v>
      </c>
      <c r="E53" s="42">
        <f>'Line - 1'!E53+'Line - 2'!E53</f>
        <v>0</v>
      </c>
      <c r="F53" s="42">
        <f>'Line - 1'!F53+'Line - 2'!F53</f>
        <v>0</v>
      </c>
      <c r="G53" s="42">
        <f>'Line - 1'!G53+'Line - 2'!G53</f>
        <v>0</v>
      </c>
      <c r="H53" s="42">
        <f>'Line - 1'!H53+'Line - 2'!H53</f>
        <v>0</v>
      </c>
      <c r="I53" s="42">
        <f>'Line - 1'!I53+'Line - 2'!I53</f>
        <v>0</v>
      </c>
      <c r="J53" s="42">
        <f>'Line - 1'!J53+'Line - 2'!J53</f>
        <v>0</v>
      </c>
      <c r="K53" s="42">
        <f>'Line - 1'!K53+'Line - 2'!K53</f>
        <v>0</v>
      </c>
      <c r="L53" s="42">
        <f>'Line - 1'!L53+'Line - 2'!L53</f>
        <v>0</v>
      </c>
      <c r="M53" s="42">
        <f>'Line - 1'!M53+'Line - 2'!M53</f>
        <v>0</v>
      </c>
      <c r="N53" s="42">
        <f>'Line - 1'!N53+'Line - 2'!N53</f>
        <v>0</v>
      </c>
      <c r="O53" s="42">
        <f>'Line - 1'!O53+'Line - 2'!O53</f>
        <v>0</v>
      </c>
      <c r="P53" s="42">
        <f>'Line - 1'!P53+'Line - 2'!P53</f>
        <v>0</v>
      </c>
      <c r="Q53" s="42">
        <f>'Line - 1'!Q53+'Line - 2'!Q53</f>
        <v>0</v>
      </c>
      <c r="R53" s="42">
        <f>'Line - 1'!R53+'Line - 2'!R53</f>
        <v>0</v>
      </c>
      <c r="S53" s="42">
        <f>'Line - 1'!S53+'Line - 2'!S53</f>
        <v>0</v>
      </c>
      <c r="T53" s="42">
        <f>'Line - 1'!T53+'Line - 2'!T53</f>
        <v>0</v>
      </c>
      <c r="U53" s="42">
        <f>'Line - 1'!U53+'Line - 2'!U53</f>
        <v>0</v>
      </c>
      <c r="V53" s="42">
        <f>'Line - 1'!V53+'Line - 2'!V53</f>
        <v>0</v>
      </c>
      <c r="W53" s="42">
        <f>'Line - 1'!W53+'Line - 2'!W53</f>
        <v>0</v>
      </c>
      <c r="X53" s="42">
        <f>'Line - 1'!X53+'Line - 2'!X53</f>
        <v>0</v>
      </c>
      <c r="Y53" s="42">
        <f>'Line - 1'!Y53+'Line - 2'!Y53</f>
        <v>0</v>
      </c>
      <c r="Z53" s="42">
        <f>'Line - 1'!Z53+'Line - 2'!Z53</f>
        <v>0</v>
      </c>
      <c r="AA53" s="42">
        <f>'Line - 1'!AA53+'Line - 2'!AA53</f>
        <v>0</v>
      </c>
      <c r="AB53" s="42">
        <f>'Line - 1'!AB53+'Line - 2'!AB53</f>
        <v>0</v>
      </c>
      <c r="AC53" s="42">
        <f>'Line - 1'!AC53+'Line - 2'!AC53</f>
        <v>0</v>
      </c>
      <c r="AD53" s="42">
        <f>'Line - 1'!AD53+'Line - 2'!AD53</f>
        <v>0</v>
      </c>
      <c r="AE53" s="42">
        <f>'Line - 1'!AE53+'Line - 2'!AE53</f>
        <v>0</v>
      </c>
      <c r="AF53" s="42">
        <f>'Line - 1'!AF53+'Line - 2'!AF53</f>
        <v>0</v>
      </c>
      <c r="AG53" s="30">
        <f t="shared" si="27"/>
        <v>0</v>
      </c>
    </row>
    <row r="54" spans="2:33" ht="15" customHeight="1">
      <c r="B54" s="9" t="s">
        <v>22</v>
      </c>
      <c r="C54" s="42">
        <f>'Line - 1'!C54+'Line - 2'!C54</f>
        <v>0</v>
      </c>
      <c r="D54" s="42">
        <f>'Line - 1'!D54+'Line - 2'!D54</f>
        <v>0</v>
      </c>
      <c r="E54" s="42">
        <f>'Line - 1'!E54+'Line - 2'!E54</f>
        <v>0</v>
      </c>
      <c r="F54" s="42">
        <f>'Line - 1'!F54+'Line - 2'!F54</f>
        <v>0</v>
      </c>
      <c r="G54" s="42">
        <f>'Line - 1'!G54+'Line - 2'!G54</f>
        <v>1</v>
      </c>
      <c r="H54" s="42">
        <f>'Line - 1'!H54+'Line - 2'!H54</f>
        <v>3</v>
      </c>
      <c r="I54" s="42">
        <f>'Line - 1'!I54+'Line - 2'!I54</f>
        <v>0</v>
      </c>
      <c r="J54" s="42">
        <f>'Line - 1'!J54+'Line - 2'!J54</f>
        <v>0</v>
      </c>
      <c r="K54" s="42">
        <f>'Line - 1'!K54+'Line - 2'!K54</f>
        <v>1</v>
      </c>
      <c r="L54" s="42">
        <f>'Line - 1'!L54+'Line - 2'!L54</f>
        <v>2</v>
      </c>
      <c r="M54" s="42">
        <f>'Line - 1'!M54+'Line - 2'!M54</f>
        <v>0</v>
      </c>
      <c r="N54" s="42">
        <f>'Line - 1'!N54+'Line - 2'!N54</f>
        <v>0</v>
      </c>
      <c r="O54" s="42">
        <f>'Line - 1'!O54+'Line - 2'!O54</f>
        <v>0</v>
      </c>
      <c r="P54" s="42">
        <f>'Line - 1'!P54+'Line - 2'!P54</f>
        <v>2</v>
      </c>
      <c r="Q54" s="42">
        <f>'Line - 1'!Q54+'Line - 2'!Q54</f>
        <v>0</v>
      </c>
      <c r="R54" s="42">
        <f>'Line - 1'!R54+'Line - 2'!R54</f>
        <v>1</v>
      </c>
      <c r="S54" s="42">
        <f>'Line - 1'!S54+'Line - 2'!S54</f>
        <v>0</v>
      </c>
      <c r="T54" s="42">
        <f>'Line - 1'!T54+'Line - 2'!T54</f>
        <v>1</v>
      </c>
      <c r="U54" s="42">
        <f>'Line - 1'!U54+'Line - 2'!U54</f>
        <v>0</v>
      </c>
      <c r="V54" s="42">
        <f>'Line - 1'!V54+'Line - 2'!V54</f>
        <v>0</v>
      </c>
      <c r="W54" s="42">
        <f>'Line - 1'!W54+'Line - 2'!W54</f>
        <v>3</v>
      </c>
      <c r="X54" s="42">
        <f>'Line - 1'!X54+'Line - 2'!X54</f>
        <v>2</v>
      </c>
      <c r="Y54" s="42">
        <f>'Line - 1'!Y54+'Line - 2'!Y54</f>
        <v>0</v>
      </c>
      <c r="Z54" s="42">
        <f>'Line - 1'!Z54+'Line - 2'!Z54</f>
        <v>0</v>
      </c>
      <c r="AA54" s="42">
        <f>'Line - 1'!AA54+'Line - 2'!AA54</f>
        <v>0</v>
      </c>
      <c r="AB54" s="42">
        <f>'Line - 1'!AB54+'Line - 2'!AB54</f>
        <v>0</v>
      </c>
      <c r="AC54" s="42">
        <f>'Line - 1'!AC54+'Line - 2'!AC54</f>
        <v>0</v>
      </c>
      <c r="AD54" s="42">
        <f>'Line - 1'!AD54+'Line - 2'!AD54</f>
        <v>0</v>
      </c>
      <c r="AE54" s="42">
        <f>'Line - 1'!AE54+'Line - 2'!AE54</f>
        <v>0</v>
      </c>
      <c r="AF54" s="42">
        <f>'Line - 1'!AF54+'Line - 2'!AF54</f>
        <v>0</v>
      </c>
      <c r="AG54" s="30">
        <f t="shared" si="27"/>
        <v>16</v>
      </c>
    </row>
    <row r="55" spans="2:33" ht="15" customHeight="1">
      <c r="B55" s="9" t="s">
        <v>40</v>
      </c>
      <c r="C55" s="42">
        <f>'Line - 1'!C55+'Line - 2'!C55</f>
        <v>0</v>
      </c>
      <c r="D55" s="42">
        <f>'Line - 1'!D55+'Line - 2'!D55</f>
        <v>0</v>
      </c>
      <c r="E55" s="42">
        <f>'Line - 1'!E55+'Line - 2'!E55</f>
        <v>0</v>
      </c>
      <c r="F55" s="42">
        <f>'Line - 1'!F55+'Line - 2'!F55</f>
        <v>0</v>
      </c>
      <c r="G55" s="42">
        <f>'Line - 1'!G55+'Line - 2'!G55</f>
        <v>0</v>
      </c>
      <c r="H55" s="42">
        <f>'Line - 1'!H55+'Line - 2'!H55</f>
        <v>0</v>
      </c>
      <c r="I55" s="42">
        <f>'Line - 1'!I55+'Line - 2'!I55</f>
        <v>0</v>
      </c>
      <c r="J55" s="42">
        <f>'Line - 1'!J55+'Line - 2'!J55</f>
        <v>0</v>
      </c>
      <c r="K55" s="42">
        <f>'Line - 1'!K55+'Line - 2'!K55</f>
        <v>0</v>
      </c>
      <c r="L55" s="42">
        <f>'Line - 1'!L55+'Line - 2'!L55</f>
        <v>0</v>
      </c>
      <c r="M55" s="42">
        <f>'Line - 1'!M55+'Line - 2'!M55</f>
        <v>0</v>
      </c>
      <c r="N55" s="42">
        <f>'Line - 1'!N55+'Line - 2'!N55</f>
        <v>1</v>
      </c>
      <c r="O55" s="42">
        <f>'Line - 1'!O55+'Line - 2'!O55</f>
        <v>0</v>
      </c>
      <c r="P55" s="42">
        <f>'Line - 1'!P55+'Line - 2'!P55</f>
        <v>0</v>
      </c>
      <c r="Q55" s="42">
        <f>'Line - 1'!Q55+'Line - 2'!Q55</f>
        <v>0</v>
      </c>
      <c r="R55" s="42">
        <f>'Line - 1'!R55+'Line - 2'!R55</f>
        <v>0</v>
      </c>
      <c r="S55" s="42">
        <f>'Line - 1'!S55+'Line - 2'!S55</f>
        <v>0</v>
      </c>
      <c r="T55" s="42">
        <f>'Line - 1'!T55+'Line - 2'!T55</f>
        <v>0</v>
      </c>
      <c r="U55" s="42">
        <f>'Line - 1'!U55+'Line - 2'!U55</f>
        <v>0</v>
      </c>
      <c r="V55" s="42">
        <f>'Line - 1'!V55+'Line - 2'!V55</f>
        <v>0</v>
      </c>
      <c r="W55" s="42">
        <f>'Line - 1'!W55+'Line - 2'!W55</f>
        <v>0</v>
      </c>
      <c r="X55" s="42">
        <f>'Line - 1'!X55+'Line - 2'!X55</f>
        <v>0</v>
      </c>
      <c r="Y55" s="42">
        <f>'Line - 1'!Y55+'Line - 2'!Y55</f>
        <v>0</v>
      </c>
      <c r="Z55" s="42">
        <f>'Line - 1'!Z55+'Line - 2'!Z55</f>
        <v>0</v>
      </c>
      <c r="AA55" s="42">
        <f>'Line - 1'!AA55+'Line - 2'!AA55</f>
        <v>0</v>
      </c>
      <c r="AB55" s="42">
        <f>'Line - 1'!AB55+'Line - 2'!AB55</f>
        <v>0</v>
      </c>
      <c r="AC55" s="42">
        <f>'Line - 1'!AC55+'Line - 2'!AC55</f>
        <v>0</v>
      </c>
      <c r="AD55" s="42">
        <f>'Line - 1'!AD55+'Line - 2'!AD55</f>
        <v>0</v>
      </c>
      <c r="AE55" s="42">
        <f>'Line - 1'!AE55+'Line - 2'!AE55</f>
        <v>0</v>
      </c>
      <c r="AF55" s="42">
        <f>'Line - 1'!AF55+'Line - 2'!AF55</f>
        <v>0</v>
      </c>
      <c r="AG55" s="30">
        <f t="shared" si="27"/>
        <v>1</v>
      </c>
    </row>
    <row r="56" spans="2:33" ht="15" customHeight="1">
      <c r="B56" s="9" t="s">
        <v>24</v>
      </c>
      <c r="C56" s="42">
        <f>'Line - 1'!C56+'Line - 2'!C56</f>
        <v>0</v>
      </c>
      <c r="D56" s="42">
        <f>'Line - 1'!D56+'Line - 2'!D56</f>
        <v>1</v>
      </c>
      <c r="E56" s="42">
        <f>'Line - 1'!E56+'Line - 2'!E56</f>
        <v>0</v>
      </c>
      <c r="F56" s="42">
        <f>'Line - 1'!F56+'Line - 2'!F56</f>
        <v>1</v>
      </c>
      <c r="G56" s="42">
        <f>'Line - 1'!G56+'Line - 2'!G56</f>
        <v>1</v>
      </c>
      <c r="H56" s="42">
        <f>'Line - 1'!H56+'Line - 2'!H56</f>
        <v>0</v>
      </c>
      <c r="I56" s="42">
        <f>'Line - 1'!I56+'Line - 2'!I56</f>
        <v>0</v>
      </c>
      <c r="J56" s="42">
        <f>'Line - 1'!J56+'Line - 2'!J56</f>
        <v>0</v>
      </c>
      <c r="K56" s="42">
        <f>'Line - 1'!K56+'Line - 2'!K56</f>
        <v>0</v>
      </c>
      <c r="L56" s="42">
        <f>'Line - 1'!L56+'Line - 2'!L56</f>
        <v>1</v>
      </c>
      <c r="M56" s="42">
        <f>'Line - 1'!M56+'Line - 2'!M56</f>
        <v>3</v>
      </c>
      <c r="N56" s="42">
        <f>'Line - 1'!N56+'Line - 2'!N56</f>
        <v>0</v>
      </c>
      <c r="O56" s="42">
        <f>'Line - 1'!O56+'Line - 2'!O56</f>
        <v>0</v>
      </c>
      <c r="P56" s="42">
        <f>'Line - 1'!P56+'Line - 2'!P56</f>
        <v>1</v>
      </c>
      <c r="Q56" s="42">
        <f>'Line - 1'!Q56+'Line - 2'!Q56</f>
        <v>2</v>
      </c>
      <c r="R56" s="42">
        <f>'Line - 1'!R56+'Line - 2'!R56</f>
        <v>0</v>
      </c>
      <c r="S56" s="42">
        <f>'Line - 1'!S56+'Line - 2'!S56</f>
        <v>0</v>
      </c>
      <c r="T56" s="42">
        <f>'Line - 1'!T56+'Line - 2'!T56</f>
        <v>1</v>
      </c>
      <c r="U56" s="42">
        <f>'Line - 1'!U56+'Line - 2'!U56</f>
        <v>3</v>
      </c>
      <c r="V56" s="42">
        <f>'Line - 1'!V56+'Line - 2'!V56</f>
        <v>0</v>
      </c>
      <c r="W56" s="42">
        <f>'Line - 1'!W56+'Line - 2'!W56</f>
        <v>1</v>
      </c>
      <c r="X56" s="42">
        <f>'Line - 1'!X56+'Line - 2'!X56</f>
        <v>2</v>
      </c>
      <c r="Y56" s="42">
        <f>'Line - 1'!Y56+'Line - 2'!Y56</f>
        <v>0</v>
      </c>
      <c r="Z56" s="42">
        <f>'Line - 1'!Z56+'Line - 2'!Z56</f>
        <v>0</v>
      </c>
      <c r="AA56" s="42">
        <f>'Line - 1'!AA56+'Line - 2'!AA56</f>
        <v>0</v>
      </c>
      <c r="AB56" s="42">
        <f>'Line - 1'!AB56+'Line - 2'!AB56</f>
        <v>0</v>
      </c>
      <c r="AC56" s="42">
        <f>'Line - 1'!AC56+'Line - 2'!AC56</f>
        <v>0</v>
      </c>
      <c r="AD56" s="42">
        <f>'Line - 1'!AD56+'Line - 2'!AD56</f>
        <v>0</v>
      </c>
      <c r="AE56" s="42">
        <f>'Line - 1'!AE56+'Line - 2'!AE56</f>
        <v>0</v>
      </c>
      <c r="AF56" s="42">
        <f>'Line - 1'!AF56+'Line - 2'!AF56</f>
        <v>0</v>
      </c>
      <c r="AG56" s="30">
        <f t="shared" si="27"/>
        <v>17</v>
      </c>
    </row>
    <row r="57" spans="2:33" ht="15" customHeight="1">
      <c r="B57" s="9" t="s">
        <v>41</v>
      </c>
      <c r="C57" s="42">
        <f>'Line - 1'!C57+'Line - 2'!C57</f>
        <v>0</v>
      </c>
      <c r="D57" s="42">
        <f>'Line - 1'!D57+'Line - 2'!D57</f>
        <v>0</v>
      </c>
      <c r="E57" s="42">
        <f>'Line - 1'!E57+'Line - 2'!E57</f>
        <v>0</v>
      </c>
      <c r="F57" s="42">
        <f>'Line - 1'!F57+'Line - 2'!F57</f>
        <v>0</v>
      </c>
      <c r="G57" s="42">
        <f>'Line - 1'!G57+'Line - 2'!G57</f>
        <v>0</v>
      </c>
      <c r="H57" s="42">
        <f>'Line - 1'!H57+'Line - 2'!H57</f>
        <v>0</v>
      </c>
      <c r="I57" s="42">
        <f>'Line - 1'!I57+'Line - 2'!I57</f>
        <v>0</v>
      </c>
      <c r="J57" s="42">
        <f>'Line - 1'!J57+'Line - 2'!J57</f>
        <v>0</v>
      </c>
      <c r="K57" s="42">
        <f>'Line - 1'!K57+'Line - 2'!K57</f>
        <v>0</v>
      </c>
      <c r="L57" s="42">
        <f>'Line - 1'!L57+'Line - 2'!L57</f>
        <v>0</v>
      </c>
      <c r="M57" s="42">
        <f>'Line - 1'!M57+'Line - 2'!M57</f>
        <v>0</v>
      </c>
      <c r="N57" s="42">
        <f>'Line - 1'!N57+'Line - 2'!N57</f>
        <v>0</v>
      </c>
      <c r="O57" s="42">
        <f>'Line - 1'!O57+'Line - 2'!O57</f>
        <v>0</v>
      </c>
      <c r="P57" s="42">
        <f>'Line - 1'!P57+'Line - 2'!P57</f>
        <v>0</v>
      </c>
      <c r="Q57" s="42">
        <f>'Line - 1'!Q57+'Line - 2'!Q57</f>
        <v>0</v>
      </c>
      <c r="R57" s="42">
        <f>'Line - 1'!R57+'Line - 2'!R57</f>
        <v>0</v>
      </c>
      <c r="S57" s="42">
        <f>'Line - 1'!S57+'Line - 2'!S57</f>
        <v>0</v>
      </c>
      <c r="T57" s="42">
        <f>'Line - 1'!T57+'Line - 2'!T57</f>
        <v>0</v>
      </c>
      <c r="U57" s="42">
        <f>'Line - 1'!U57+'Line - 2'!U57</f>
        <v>0</v>
      </c>
      <c r="V57" s="42">
        <f>'Line - 1'!V57+'Line - 2'!V57</f>
        <v>0</v>
      </c>
      <c r="W57" s="42">
        <f>'Line - 1'!W57+'Line - 2'!W57</f>
        <v>0</v>
      </c>
      <c r="X57" s="42">
        <f>'Line - 1'!X57+'Line - 2'!X57</f>
        <v>0</v>
      </c>
      <c r="Y57" s="42">
        <f>'Line - 1'!Y57+'Line - 2'!Y57</f>
        <v>0</v>
      </c>
      <c r="Z57" s="42">
        <f>'Line - 1'!Z57+'Line - 2'!Z57</f>
        <v>0</v>
      </c>
      <c r="AA57" s="42">
        <f>'Line - 1'!AA57+'Line - 2'!AA57</f>
        <v>0</v>
      </c>
      <c r="AB57" s="42">
        <f>'Line - 1'!AB57+'Line - 2'!AB57</f>
        <v>0</v>
      </c>
      <c r="AC57" s="42">
        <f>'Line - 1'!AC57+'Line - 2'!AC57</f>
        <v>0</v>
      </c>
      <c r="AD57" s="42">
        <f>'Line - 1'!AD57+'Line - 2'!AD57</f>
        <v>0</v>
      </c>
      <c r="AE57" s="42">
        <f>'Line - 1'!AE57+'Line - 2'!AE57</f>
        <v>0</v>
      </c>
      <c r="AF57" s="42">
        <f>'Line - 1'!AF57+'Line - 2'!AF57</f>
        <v>0</v>
      </c>
      <c r="AG57" s="30">
        <f t="shared" si="27"/>
        <v>0</v>
      </c>
    </row>
    <row r="58" spans="2:33" ht="15" customHeight="1">
      <c r="B58" s="9" t="s">
        <v>42</v>
      </c>
      <c r="C58" s="42">
        <f>'Line - 1'!C58+'Line - 2'!C58</f>
        <v>0</v>
      </c>
      <c r="D58" s="42">
        <f>'Line - 1'!D58+'Line - 2'!D58</f>
        <v>0</v>
      </c>
      <c r="E58" s="42">
        <f>'Line - 1'!E58+'Line - 2'!E58</f>
        <v>0</v>
      </c>
      <c r="F58" s="42">
        <f>'Line - 1'!F58+'Line - 2'!F58</f>
        <v>0</v>
      </c>
      <c r="G58" s="42">
        <f>'Line - 1'!G58+'Line - 2'!G58</f>
        <v>0</v>
      </c>
      <c r="H58" s="42">
        <f>'Line - 1'!H58+'Line - 2'!H58</f>
        <v>1</v>
      </c>
      <c r="I58" s="42">
        <f>'Line - 1'!I58+'Line - 2'!I58</f>
        <v>0</v>
      </c>
      <c r="J58" s="42">
        <f>'Line - 1'!J58+'Line - 2'!J58</f>
        <v>0</v>
      </c>
      <c r="K58" s="42">
        <f>'Line - 1'!K58+'Line - 2'!K58</f>
        <v>0</v>
      </c>
      <c r="L58" s="42">
        <f>'Line - 1'!L58+'Line - 2'!L58</f>
        <v>0</v>
      </c>
      <c r="M58" s="42">
        <f>'Line - 1'!M58+'Line - 2'!M58</f>
        <v>0</v>
      </c>
      <c r="N58" s="42">
        <f>'Line - 1'!N58+'Line - 2'!N58</f>
        <v>0</v>
      </c>
      <c r="O58" s="42">
        <f>'Line - 1'!O58+'Line - 2'!O58</f>
        <v>0</v>
      </c>
      <c r="P58" s="42">
        <f>'Line - 1'!P58+'Line - 2'!P58</f>
        <v>0</v>
      </c>
      <c r="Q58" s="42">
        <f>'Line - 1'!Q58+'Line - 2'!Q58</f>
        <v>0</v>
      </c>
      <c r="R58" s="42">
        <f>'Line - 1'!R58+'Line - 2'!R58</f>
        <v>0</v>
      </c>
      <c r="S58" s="42">
        <f>'Line - 1'!S58+'Line - 2'!S58</f>
        <v>0</v>
      </c>
      <c r="T58" s="42">
        <f>'Line - 1'!T58+'Line - 2'!T58</f>
        <v>0</v>
      </c>
      <c r="U58" s="42">
        <f>'Line - 1'!U58+'Line - 2'!U58</f>
        <v>0</v>
      </c>
      <c r="V58" s="42">
        <f>'Line - 1'!V58+'Line - 2'!V58</f>
        <v>0</v>
      </c>
      <c r="W58" s="42">
        <f>'Line - 1'!W58+'Line - 2'!W58</f>
        <v>0</v>
      </c>
      <c r="X58" s="42">
        <f>'Line - 1'!X58+'Line - 2'!X58</f>
        <v>0</v>
      </c>
      <c r="Y58" s="42">
        <f>'Line - 1'!Y58+'Line - 2'!Y58</f>
        <v>0</v>
      </c>
      <c r="Z58" s="42">
        <f>'Line - 1'!Z58+'Line - 2'!Z58</f>
        <v>0</v>
      </c>
      <c r="AA58" s="42">
        <f>'Line - 1'!AA58+'Line - 2'!AA58</f>
        <v>0</v>
      </c>
      <c r="AB58" s="42">
        <f>'Line - 1'!AB58+'Line - 2'!AB58</f>
        <v>0</v>
      </c>
      <c r="AC58" s="42">
        <f>'Line - 1'!AC58+'Line - 2'!AC58</f>
        <v>0</v>
      </c>
      <c r="AD58" s="42">
        <f>'Line - 1'!AD58+'Line - 2'!AD58</f>
        <v>0</v>
      </c>
      <c r="AE58" s="42">
        <f>'Line - 1'!AE58+'Line - 2'!AE58</f>
        <v>0</v>
      </c>
      <c r="AF58" s="42">
        <f>'Line - 1'!AF58+'Line - 2'!AF58</f>
        <v>0</v>
      </c>
      <c r="AG58" s="30">
        <f t="shared" si="27"/>
        <v>1</v>
      </c>
    </row>
    <row r="59" spans="2:33" ht="15" customHeight="1">
      <c r="B59" s="9" t="s">
        <v>19</v>
      </c>
      <c r="C59" s="42">
        <f>'Line - 1'!C59+'Line - 2'!C59</f>
        <v>0</v>
      </c>
      <c r="D59" s="42">
        <f>'Line - 1'!D59+'Line - 2'!D59</f>
        <v>1</v>
      </c>
      <c r="E59" s="42">
        <f>'Line - 1'!E59+'Line - 2'!E59</f>
        <v>2</v>
      </c>
      <c r="F59" s="42">
        <f>'Line - 1'!F59+'Line - 2'!F59</f>
        <v>1</v>
      </c>
      <c r="G59" s="42">
        <f>'Line - 1'!G59+'Line - 2'!G59</f>
        <v>1</v>
      </c>
      <c r="H59" s="42">
        <f>'Line - 1'!H59+'Line - 2'!H59</f>
        <v>0</v>
      </c>
      <c r="I59" s="42">
        <f>'Line - 1'!I59+'Line - 2'!I59</f>
        <v>0</v>
      </c>
      <c r="J59" s="42">
        <f>'Line - 1'!J59+'Line - 2'!J59</f>
        <v>1</v>
      </c>
      <c r="K59" s="42">
        <f>'Line - 1'!K59+'Line - 2'!K59</f>
        <v>1</v>
      </c>
      <c r="L59" s="42">
        <f>'Line - 1'!L59+'Line - 2'!L59</f>
        <v>1</v>
      </c>
      <c r="M59" s="42">
        <f>'Line - 1'!M59+'Line - 2'!M59</f>
        <v>0</v>
      </c>
      <c r="N59" s="42">
        <f>'Line - 1'!N59+'Line - 2'!N59</f>
        <v>0</v>
      </c>
      <c r="O59" s="42">
        <f>'Line - 1'!O59+'Line - 2'!O59</f>
        <v>1</v>
      </c>
      <c r="P59" s="42">
        <f>'Line - 1'!P59+'Line - 2'!P59</f>
        <v>0</v>
      </c>
      <c r="Q59" s="42">
        <f>'Line - 1'!Q59+'Line - 2'!Q59</f>
        <v>0</v>
      </c>
      <c r="R59" s="42">
        <f>'Line - 1'!R59+'Line - 2'!R59</f>
        <v>1</v>
      </c>
      <c r="S59" s="42">
        <f>'Line - 1'!S59+'Line - 2'!S59</f>
        <v>0</v>
      </c>
      <c r="T59" s="42">
        <f>'Line - 1'!T59+'Line - 2'!T59</f>
        <v>0</v>
      </c>
      <c r="U59" s="42">
        <f>'Line - 1'!U59+'Line - 2'!U59</f>
        <v>0</v>
      </c>
      <c r="V59" s="42">
        <f>'Line - 1'!V59+'Line - 2'!V59</f>
        <v>1</v>
      </c>
      <c r="W59" s="42">
        <f>'Line - 1'!W59+'Line - 2'!W59</f>
        <v>1</v>
      </c>
      <c r="X59" s="42">
        <f>'Line - 1'!X59+'Line - 2'!X59</f>
        <v>0</v>
      </c>
      <c r="Y59" s="42">
        <f>'Line - 1'!Y59+'Line - 2'!Y59</f>
        <v>0</v>
      </c>
      <c r="Z59" s="42">
        <f>'Line - 1'!Z59+'Line - 2'!Z59</f>
        <v>0</v>
      </c>
      <c r="AA59" s="42">
        <f>'Line - 1'!AA59+'Line - 2'!AA59</f>
        <v>0</v>
      </c>
      <c r="AB59" s="42">
        <f>'Line - 1'!AB59+'Line - 2'!AB59</f>
        <v>0</v>
      </c>
      <c r="AC59" s="42">
        <f>'Line - 1'!AC59+'Line - 2'!AC59</f>
        <v>0</v>
      </c>
      <c r="AD59" s="42">
        <f>'Line - 1'!AD59+'Line - 2'!AD59</f>
        <v>0</v>
      </c>
      <c r="AE59" s="42">
        <f>'Line - 1'!AE59+'Line - 2'!AE59</f>
        <v>0</v>
      </c>
      <c r="AF59" s="42">
        <f>'Line - 1'!AF59+'Line - 2'!AF59</f>
        <v>0</v>
      </c>
      <c r="AG59" s="30">
        <f t="shared" si="27"/>
        <v>12</v>
      </c>
    </row>
    <row r="60" spans="2:33" ht="15" customHeight="1">
      <c r="B60" s="9" t="s">
        <v>12</v>
      </c>
      <c r="C60" s="42">
        <f>'Line - 1'!C60+'Line - 2'!C60</f>
        <v>0</v>
      </c>
      <c r="D60" s="42">
        <f>'Line - 1'!D60+'Line - 2'!D60</f>
        <v>0</v>
      </c>
      <c r="E60" s="42">
        <f>'Line - 1'!E60+'Line - 2'!E60</f>
        <v>0</v>
      </c>
      <c r="F60" s="42">
        <f>'Line - 1'!F60+'Line - 2'!F60</f>
        <v>0</v>
      </c>
      <c r="G60" s="42">
        <f>'Line - 1'!G60+'Line - 2'!G60</f>
        <v>0</v>
      </c>
      <c r="H60" s="42">
        <f>'Line - 1'!H60+'Line - 2'!H60</f>
        <v>0</v>
      </c>
      <c r="I60" s="42">
        <f>'Line - 1'!I60+'Line - 2'!I60</f>
        <v>0</v>
      </c>
      <c r="J60" s="42">
        <f>'Line - 1'!J60+'Line - 2'!J60</f>
        <v>0</v>
      </c>
      <c r="K60" s="42">
        <f>'Line - 1'!K60+'Line - 2'!K60</f>
        <v>0</v>
      </c>
      <c r="L60" s="42">
        <f>'Line - 1'!L60+'Line - 2'!L60</f>
        <v>0</v>
      </c>
      <c r="M60" s="42">
        <f>'Line - 1'!M60+'Line - 2'!M60</f>
        <v>0</v>
      </c>
      <c r="N60" s="42">
        <f>'Line - 1'!N60+'Line - 2'!N60</f>
        <v>0</v>
      </c>
      <c r="O60" s="42">
        <f>'Line - 1'!O60+'Line - 2'!O60</f>
        <v>0</v>
      </c>
      <c r="P60" s="42">
        <f>'Line - 1'!P60+'Line - 2'!P60</f>
        <v>0</v>
      </c>
      <c r="Q60" s="42">
        <f>'Line - 1'!Q60+'Line - 2'!Q60</f>
        <v>0</v>
      </c>
      <c r="R60" s="42">
        <f>'Line - 1'!R60+'Line - 2'!R60</f>
        <v>0</v>
      </c>
      <c r="S60" s="42">
        <f>'Line - 1'!S60+'Line - 2'!S60</f>
        <v>0</v>
      </c>
      <c r="T60" s="42">
        <f>'Line - 1'!T60+'Line - 2'!T60</f>
        <v>0</v>
      </c>
      <c r="U60" s="42">
        <f>'Line - 1'!U60+'Line - 2'!U60</f>
        <v>0</v>
      </c>
      <c r="V60" s="42">
        <f>'Line - 1'!V60+'Line - 2'!V60</f>
        <v>0</v>
      </c>
      <c r="W60" s="42">
        <f>'Line - 1'!W60+'Line - 2'!W60</f>
        <v>0</v>
      </c>
      <c r="X60" s="42">
        <f>'Line - 1'!X60+'Line - 2'!X60</f>
        <v>0</v>
      </c>
      <c r="Y60" s="42">
        <f>'Line - 1'!Y60+'Line - 2'!Y60</f>
        <v>0</v>
      </c>
      <c r="Z60" s="42">
        <f>'Line - 1'!Z60+'Line - 2'!Z60</f>
        <v>0</v>
      </c>
      <c r="AA60" s="42">
        <f>'Line - 1'!AA60+'Line - 2'!AA60</f>
        <v>0</v>
      </c>
      <c r="AB60" s="42">
        <f>'Line - 1'!AB60+'Line - 2'!AB60</f>
        <v>0</v>
      </c>
      <c r="AC60" s="42">
        <f>'Line - 1'!AC60+'Line - 2'!AC60</f>
        <v>0</v>
      </c>
      <c r="AD60" s="42">
        <f>'Line - 1'!AD60+'Line - 2'!AD60</f>
        <v>0</v>
      </c>
      <c r="AE60" s="42">
        <f>'Line - 1'!AE60+'Line - 2'!AE60</f>
        <v>0</v>
      </c>
      <c r="AF60" s="42">
        <f>'Line - 1'!AF60+'Line - 2'!AF60</f>
        <v>0</v>
      </c>
      <c r="AG60" s="30">
        <f t="shared" si="27"/>
        <v>0</v>
      </c>
    </row>
    <row r="61" spans="2:33" ht="15" customHeight="1">
      <c r="B61" s="9" t="s">
        <v>43</v>
      </c>
      <c r="C61" s="42">
        <f>'Line - 1'!C61+'Line - 2'!C61</f>
        <v>0</v>
      </c>
      <c r="D61" s="42">
        <f>'Line - 1'!D61+'Line - 2'!D61</f>
        <v>0</v>
      </c>
      <c r="E61" s="42">
        <f>'Line - 1'!E61+'Line - 2'!E61</f>
        <v>0</v>
      </c>
      <c r="F61" s="42">
        <f>'Line - 1'!F61+'Line - 2'!F61</f>
        <v>0</v>
      </c>
      <c r="G61" s="42">
        <f>'Line - 1'!G61+'Line - 2'!G61</f>
        <v>0</v>
      </c>
      <c r="H61" s="42">
        <f>'Line - 1'!H61+'Line - 2'!H61</f>
        <v>0</v>
      </c>
      <c r="I61" s="42">
        <f>'Line - 1'!I61+'Line - 2'!I61</f>
        <v>0</v>
      </c>
      <c r="J61" s="42">
        <f>'Line - 1'!J61+'Line - 2'!J61</f>
        <v>0</v>
      </c>
      <c r="K61" s="42">
        <f>'Line - 1'!K61+'Line - 2'!K61</f>
        <v>0</v>
      </c>
      <c r="L61" s="42">
        <f>'Line - 1'!L61+'Line - 2'!L61</f>
        <v>0</v>
      </c>
      <c r="M61" s="42">
        <f>'Line - 1'!M61+'Line - 2'!M61</f>
        <v>0</v>
      </c>
      <c r="N61" s="42">
        <f>'Line - 1'!N61+'Line - 2'!N61</f>
        <v>8</v>
      </c>
      <c r="O61" s="42">
        <f>'Line - 1'!O61+'Line - 2'!O61</f>
        <v>0</v>
      </c>
      <c r="P61" s="42">
        <f>'Line - 1'!P61+'Line - 2'!P61</f>
        <v>0</v>
      </c>
      <c r="Q61" s="42">
        <f>'Line - 1'!Q61+'Line - 2'!Q61</f>
        <v>0</v>
      </c>
      <c r="R61" s="42">
        <f>'Line - 1'!R61+'Line - 2'!R61</f>
        <v>0</v>
      </c>
      <c r="S61" s="42">
        <f>'Line - 1'!S61+'Line - 2'!S61</f>
        <v>0</v>
      </c>
      <c r="T61" s="42">
        <f>'Line - 1'!T61+'Line - 2'!T61</f>
        <v>0</v>
      </c>
      <c r="U61" s="42">
        <f>'Line - 1'!U61+'Line - 2'!U61</f>
        <v>0</v>
      </c>
      <c r="V61" s="42">
        <f>'Line - 1'!V61+'Line - 2'!V61</f>
        <v>0</v>
      </c>
      <c r="W61" s="42">
        <f>'Line - 1'!W61+'Line - 2'!W61</f>
        <v>0</v>
      </c>
      <c r="X61" s="42">
        <f>'Line - 1'!X61+'Line - 2'!X61</f>
        <v>0</v>
      </c>
      <c r="Y61" s="42">
        <f>'Line - 1'!Y61+'Line - 2'!Y61</f>
        <v>0</v>
      </c>
      <c r="Z61" s="42">
        <f>'Line - 1'!Z61+'Line - 2'!Z61</f>
        <v>0</v>
      </c>
      <c r="AA61" s="42">
        <f>'Line - 1'!AA61+'Line - 2'!AA61</f>
        <v>0</v>
      </c>
      <c r="AB61" s="42">
        <f>'Line - 1'!AB61+'Line - 2'!AB61</f>
        <v>0</v>
      </c>
      <c r="AC61" s="42">
        <f>'Line - 1'!AC61+'Line - 2'!AC61</f>
        <v>0</v>
      </c>
      <c r="AD61" s="42">
        <f>'Line - 1'!AD61+'Line - 2'!AD61</f>
        <v>0</v>
      </c>
      <c r="AE61" s="42">
        <f>'Line - 1'!AE61+'Line - 2'!AE61</f>
        <v>0</v>
      </c>
      <c r="AF61" s="42">
        <f>'Line - 1'!AF61+'Line - 2'!AF61</f>
        <v>0</v>
      </c>
      <c r="AG61" s="30">
        <f t="shared" si="27"/>
        <v>8</v>
      </c>
    </row>
    <row r="62" spans="2:33" ht="15" customHeight="1">
      <c r="B62" s="9" t="s">
        <v>44</v>
      </c>
      <c r="C62" s="42">
        <f>'Line - 1'!C62+'Line - 2'!C62</f>
        <v>0</v>
      </c>
      <c r="D62" s="42">
        <f>'Line - 1'!D62+'Line - 2'!D62</f>
        <v>0</v>
      </c>
      <c r="E62" s="42">
        <f>'Line - 1'!E62+'Line - 2'!E62</f>
        <v>0</v>
      </c>
      <c r="F62" s="42">
        <f>'Line - 1'!F62+'Line - 2'!F62</f>
        <v>0</v>
      </c>
      <c r="G62" s="42">
        <f>'Line - 1'!G62+'Line - 2'!G62</f>
        <v>0</v>
      </c>
      <c r="H62" s="42">
        <f>'Line - 1'!H62+'Line - 2'!H62</f>
        <v>0</v>
      </c>
      <c r="I62" s="42">
        <f>'Line - 1'!I62+'Line - 2'!I62</f>
        <v>0</v>
      </c>
      <c r="J62" s="42">
        <f>'Line - 1'!J62+'Line - 2'!J62</f>
        <v>2</v>
      </c>
      <c r="K62" s="42">
        <f>'Line - 1'!K62+'Line - 2'!K62</f>
        <v>0</v>
      </c>
      <c r="L62" s="42">
        <f>'Line - 1'!L62+'Line - 2'!L62</f>
        <v>0</v>
      </c>
      <c r="M62" s="42">
        <f>'Line - 1'!M62+'Line - 2'!M62</f>
        <v>0</v>
      </c>
      <c r="N62" s="42">
        <f>'Line - 1'!N62+'Line - 2'!N62</f>
        <v>0</v>
      </c>
      <c r="O62" s="42">
        <f>'Line - 1'!O62+'Line - 2'!O62</f>
        <v>0</v>
      </c>
      <c r="P62" s="42">
        <f>'Line - 1'!P62+'Line - 2'!P62</f>
        <v>0</v>
      </c>
      <c r="Q62" s="42">
        <f>'Line - 1'!Q62+'Line - 2'!Q62</f>
        <v>0</v>
      </c>
      <c r="R62" s="42">
        <f>'Line - 1'!R62+'Line - 2'!R62</f>
        <v>0</v>
      </c>
      <c r="S62" s="42">
        <f>'Line - 1'!S62+'Line - 2'!S62</f>
        <v>0</v>
      </c>
      <c r="T62" s="42">
        <f>'Line - 1'!T62+'Line - 2'!T62</f>
        <v>0</v>
      </c>
      <c r="U62" s="42">
        <f>'Line - 1'!U62+'Line - 2'!U62</f>
        <v>0</v>
      </c>
      <c r="V62" s="42">
        <f>'Line - 1'!V62+'Line - 2'!V62</f>
        <v>0</v>
      </c>
      <c r="W62" s="42">
        <f>'Line - 1'!W62+'Line - 2'!W62</f>
        <v>0</v>
      </c>
      <c r="X62" s="42">
        <f>'Line - 1'!X62+'Line - 2'!X62</f>
        <v>0</v>
      </c>
      <c r="Y62" s="42">
        <f>'Line - 1'!Y62+'Line - 2'!Y62</f>
        <v>0</v>
      </c>
      <c r="Z62" s="42">
        <f>'Line - 1'!Z62+'Line - 2'!Z62</f>
        <v>0</v>
      </c>
      <c r="AA62" s="42">
        <f>'Line - 1'!AA62+'Line - 2'!AA62</f>
        <v>0</v>
      </c>
      <c r="AB62" s="42">
        <f>'Line - 1'!AB62+'Line - 2'!AB62</f>
        <v>0</v>
      </c>
      <c r="AC62" s="42">
        <f>'Line - 1'!AC62+'Line - 2'!AC62</f>
        <v>0</v>
      </c>
      <c r="AD62" s="42">
        <f>'Line - 1'!AD62+'Line - 2'!AD62</f>
        <v>0</v>
      </c>
      <c r="AE62" s="42">
        <f>'Line - 1'!AE62+'Line - 2'!AE62</f>
        <v>0</v>
      </c>
      <c r="AF62" s="42">
        <f>'Line - 1'!AF62+'Line - 2'!AF62</f>
        <v>0</v>
      </c>
      <c r="AG62" s="30">
        <f t="shared" si="27"/>
        <v>2</v>
      </c>
    </row>
    <row r="63" spans="2:33" ht="15" customHeight="1">
      <c r="B63" s="9" t="s">
        <v>26</v>
      </c>
      <c r="C63" s="42">
        <f>'Line - 1'!C63+'Line - 2'!C63</f>
        <v>2</v>
      </c>
      <c r="D63" s="42">
        <f>'Line - 1'!D63+'Line - 2'!D63</f>
        <v>0</v>
      </c>
      <c r="E63" s="42">
        <f>'Line - 1'!E63+'Line - 2'!E63</f>
        <v>4</v>
      </c>
      <c r="F63" s="42">
        <f>'Line - 1'!F63+'Line - 2'!F63</f>
        <v>3</v>
      </c>
      <c r="G63" s="42">
        <f>'Line - 1'!G63+'Line - 2'!G63</f>
        <v>0</v>
      </c>
      <c r="H63" s="42">
        <f>'Line - 1'!H63+'Line - 2'!H63</f>
        <v>2</v>
      </c>
      <c r="I63" s="42">
        <f>'Line - 1'!I63+'Line - 2'!I63</f>
        <v>2</v>
      </c>
      <c r="J63" s="42">
        <f>'Line - 1'!J63+'Line - 2'!J63</f>
        <v>0</v>
      </c>
      <c r="K63" s="42">
        <f>'Line - 1'!K63+'Line - 2'!K63</f>
        <v>1</v>
      </c>
      <c r="L63" s="42">
        <f>'Line - 1'!L63+'Line - 2'!L63</f>
        <v>2</v>
      </c>
      <c r="M63" s="42">
        <f>'Line - 1'!M63+'Line - 2'!M63</f>
        <v>3</v>
      </c>
      <c r="N63" s="42">
        <f>'Line - 1'!N63+'Line - 2'!N63</f>
        <v>4</v>
      </c>
      <c r="O63" s="42">
        <f>'Line - 1'!O63+'Line - 2'!O63</f>
        <v>0</v>
      </c>
      <c r="P63" s="42">
        <f>'Line - 1'!P63+'Line - 2'!P63</f>
        <v>1</v>
      </c>
      <c r="Q63" s="42">
        <f>'Line - 1'!Q63+'Line - 2'!Q63</f>
        <v>0</v>
      </c>
      <c r="R63" s="42">
        <f>'Line - 1'!R63+'Line - 2'!R63</f>
        <v>0</v>
      </c>
      <c r="S63" s="42">
        <f>'Line - 1'!S63+'Line - 2'!S63</f>
        <v>0</v>
      </c>
      <c r="T63" s="42">
        <f>'Line - 1'!T63+'Line - 2'!T63</f>
        <v>0</v>
      </c>
      <c r="U63" s="42">
        <f>'Line - 1'!U63+'Line - 2'!U63</f>
        <v>0</v>
      </c>
      <c r="V63" s="42">
        <f>'Line - 1'!V63+'Line - 2'!V63</f>
        <v>1</v>
      </c>
      <c r="W63" s="42">
        <f>'Line - 1'!W63+'Line - 2'!W63</f>
        <v>0</v>
      </c>
      <c r="X63" s="42">
        <f>'Line - 1'!X63+'Line - 2'!X63</f>
        <v>2</v>
      </c>
      <c r="Y63" s="42">
        <f>'Line - 1'!Y63+'Line - 2'!Y63</f>
        <v>0</v>
      </c>
      <c r="Z63" s="42">
        <f>'Line - 1'!Z63+'Line - 2'!Z63</f>
        <v>0</v>
      </c>
      <c r="AA63" s="42">
        <f>'Line - 1'!AA63+'Line - 2'!AA63</f>
        <v>0</v>
      </c>
      <c r="AB63" s="42">
        <f>'Line - 1'!AB63+'Line - 2'!AB63</f>
        <v>0</v>
      </c>
      <c r="AC63" s="42">
        <f>'Line - 1'!AC63+'Line - 2'!AC63</f>
        <v>0</v>
      </c>
      <c r="AD63" s="42">
        <f>'Line - 1'!AD63+'Line - 2'!AD63</f>
        <v>0</v>
      </c>
      <c r="AE63" s="42">
        <f>'Line - 1'!AE63+'Line - 2'!AE63</f>
        <v>0</v>
      </c>
      <c r="AF63" s="42">
        <f>'Line - 1'!AF63+'Line - 2'!AF63</f>
        <v>0</v>
      </c>
      <c r="AG63" s="30">
        <f t="shared" si="27"/>
        <v>27</v>
      </c>
    </row>
    <row r="64" spans="2:33" ht="15" customHeight="1">
      <c r="B64" s="21" t="s">
        <v>23</v>
      </c>
      <c r="C64" s="42">
        <f>'Line - 1'!C64+'Line - 2'!C64</f>
        <v>0</v>
      </c>
      <c r="D64" s="42">
        <f>'Line - 1'!D64+'Line - 2'!D64</f>
        <v>0</v>
      </c>
      <c r="E64" s="42">
        <f>'Line - 1'!E64+'Line - 2'!E64</f>
        <v>0</v>
      </c>
      <c r="F64" s="42">
        <f>'Line - 1'!F64+'Line - 2'!F64</f>
        <v>0</v>
      </c>
      <c r="G64" s="42">
        <f>'Line - 1'!G64+'Line - 2'!G64</f>
        <v>0</v>
      </c>
      <c r="H64" s="42">
        <f>'Line - 1'!H64+'Line - 2'!H64</f>
        <v>0</v>
      </c>
      <c r="I64" s="42">
        <f>'Line - 1'!I64+'Line - 2'!I64</f>
        <v>0</v>
      </c>
      <c r="J64" s="42">
        <f>'Line - 1'!J64+'Line - 2'!J64</f>
        <v>0</v>
      </c>
      <c r="K64" s="42">
        <f>'Line - 1'!K64+'Line - 2'!K64</f>
        <v>0</v>
      </c>
      <c r="L64" s="42">
        <f>'Line - 1'!L64+'Line - 2'!L64</f>
        <v>0</v>
      </c>
      <c r="M64" s="42">
        <f>'Line - 1'!M64+'Line - 2'!M64</f>
        <v>0</v>
      </c>
      <c r="N64" s="42">
        <f>'Line - 1'!N64+'Line - 2'!N64</f>
        <v>1</v>
      </c>
      <c r="O64" s="42">
        <f>'Line - 1'!O64+'Line - 2'!O64</f>
        <v>0</v>
      </c>
      <c r="P64" s="42">
        <f>'Line - 1'!P64+'Line - 2'!P64</f>
        <v>0</v>
      </c>
      <c r="Q64" s="42">
        <f>'Line - 1'!Q64+'Line - 2'!Q64</f>
        <v>1</v>
      </c>
      <c r="R64" s="42">
        <f>'Line - 1'!R64+'Line - 2'!R64</f>
        <v>1</v>
      </c>
      <c r="S64" s="42">
        <f>'Line - 1'!S64+'Line - 2'!S64</f>
        <v>0</v>
      </c>
      <c r="T64" s="42">
        <f>'Line - 1'!T64+'Line - 2'!T64</f>
        <v>0</v>
      </c>
      <c r="U64" s="42">
        <f>'Line - 1'!U64+'Line - 2'!U64</f>
        <v>0</v>
      </c>
      <c r="V64" s="42">
        <f>'Line - 1'!V64+'Line - 2'!V64</f>
        <v>0</v>
      </c>
      <c r="W64" s="42">
        <f>'Line - 1'!Z53+'Line - 2'!W64</f>
        <v>0</v>
      </c>
      <c r="X64" s="42">
        <f>'Line - 1'!AA53+'Line - 2'!X64</f>
        <v>0</v>
      </c>
      <c r="Y64" s="42">
        <f>'Line - 1'!AB53+'Line - 2'!Y64</f>
        <v>0</v>
      </c>
      <c r="Z64" s="42">
        <f>'Line - 1'!AC53+'Line - 2'!Z64</f>
        <v>0</v>
      </c>
      <c r="AA64" s="42">
        <f>'Line - 1'!AD53+'Line - 2'!AA64</f>
        <v>0</v>
      </c>
      <c r="AB64" s="42">
        <f>'Line - 1'!AE53+'Line - 2'!AB64</f>
        <v>0</v>
      </c>
      <c r="AC64" s="42" t="e">
        <f>'Line - 1'!#REF!+'Line - 2'!AC64</f>
        <v>#REF!</v>
      </c>
      <c r="AD64" s="42">
        <f>'Line - 1'!AG53+'Line - 2'!AD64</f>
        <v>0</v>
      </c>
      <c r="AE64" s="42">
        <f>'Line - 1'!AH53+'Line - 2'!AE64</f>
        <v>0</v>
      </c>
      <c r="AF64" s="42">
        <f>'Line - 1'!AI53+'Line - 2'!AF64</f>
        <v>0</v>
      </c>
      <c r="AG64" s="30" t="e">
        <f t="shared" si="27"/>
        <v>#REF!</v>
      </c>
    </row>
    <row r="65" spans="1:33" ht="15" customHeight="1">
      <c r="B65" s="21" t="s">
        <v>45</v>
      </c>
      <c r="C65" s="42">
        <f>'Line - 1'!C65+'Line - 2'!C65</f>
        <v>0</v>
      </c>
      <c r="D65" s="42">
        <f>'Line - 1'!D65+'Line - 2'!D65</f>
        <v>2</v>
      </c>
      <c r="E65" s="42">
        <f>'Line - 1'!E65+'Line - 2'!E65</f>
        <v>1</v>
      </c>
      <c r="F65" s="42">
        <f>'Line - 1'!F65+'Line - 2'!F65</f>
        <v>1</v>
      </c>
      <c r="G65" s="42">
        <f>'Line - 1'!G65+'Line - 2'!G65</f>
        <v>4</v>
      </c>
      <c r="H65" s="42">
        <f>'Line - 1'!H65+'Line - 2'!H65</f>
        <v>3</v>
      </c>
      <c r="I65" s="42">
        <f>'Line - 1'!I65+'Line - 2'!I65</f>
        <v>6</v>
      </c>
      <c r="J65" s="42">
        <f>'Line - 1'!J65+'Line - 2'!J65</f>
        <v>3</v>
      </c>
      <c r="K65" s="42">
        <f>'Line - 1'!K65+'Line - 2'!K65</f>
        <v>1</v>
      </c>
      <c r="L65" s="42">
        <f>'Line - 1'!L65+'Line - 2'!L65</f>
        <v>5</v>
      </c>
      <c r="M65" s="42">
        <f>'Line - 1'!M65+'Line - 2'!M65</f>
        <v>4</v>
      </c>
      <c r="N65" s="42">
        <f>'Line - 1'!N65+'Line - 2'!N65</f>
        <v>3</v>
      </c>
      <c r="O65" s="42">
        <f>'Line - 1'!O65+'Line - 2'!O65</f>
        <v>0</v>
      </c>
      <c r="P65" s="42">
        <f>'Line - 1'!P65+'Line - 2'!P65</f>
        <v>2</v>
      </c>
      <c r="Q65" s="42">
        <f>'Line - 1'!Q65+'Line - 2'!Q65</f>
        <v>4</v>
      </c>
      <c r="R65" s="42">
        <f>'Line - 1'!R65+'Line - 2'!R65</f>
        <v>1</v>
      </c>
      <c r="S65" s="42">
        <f>'Line - 1'!S65+'Line - 2'!S65</f>
        <v>0</v>
      </c>
      <c r="T65" s="42">
        <f>'Line - 1'!T65+'Line - 2'!T65</f>
        <v>1</v>
      </c>
      <c r="U65" s="42">
        <f>'Line - 1'!U65+'Line - 2'!U65</f>
        <v>0</v>
      </c>
      <c r="V65" s="42">
        <f>'Line - 1'!V65+'Line - 2'!V65</f>
        <v>0</v>
      </c>
      <c r="W65" s="42">
        <f>'Line - 1'!W65+'Line - 2'!W65</f>
        <v>0</v>
      </c>
      <c r="X65" s="42">
        <f>'Line - 1'!X65+'Line - 2'!X65</f>
        <v>0</v>
      </c>
      <c r="Y65" s="42">
        <f>'Line - 1'!Y65+'Line - 2'!Y65</f>
        <v>0</v>
      </c>
      <c r="Z65" s="42">
        <f>'Line - 1'!Z65+'Line - 2'!Z65</f>
        <v>0</v>
      </c>
      <c r="AA65" s="42">
        <f>'Line - 1'!AA65+'Line - 2'!AA65</f>
        <v>0</v>
      </c>
      <c r="AB65" s="42">
        <f>'Line - 1'!AB65+'Line - 2'!AB65</f>
        <v>0</v>
      </c>
      <c r="AC65" s="42">
        <f>'Line - 1'!AC65+'Line - 2'!AC65</f>
        <v>0</v>
      </c>
      <c r="AD65" s="42">
        <f>'Line - 1'!AD65+'Line - 2'!AD65</f>
        <v>0</v>
      </c>
      <c r="AE65" s="42">
        <f>'Line - 1'!AE65+'Line - 2'!AE65</f>
        <v>0</v>
      </c>
      <c r="AF65" s="42">
        <f>'Line - 1'!AF65+'Line - 2'!AF65</f>
        <v>0</v>
      </c>
      <c r="AG65" s="30">
        <f t="shared" si="27"/>
        <v>41</v>
      </c>
    </row>
    <row r="66" spans="1:33" ht="15" customHeight="1">
      <c r="B66" s="9" t="s">
        <v>27</v>
      </c>
      <c r="C66" s="42">
        <f>'Line - 1'!C66+'Line - 2'!C66</f>
        <v>0</v>
      </c>
      <c r="D66" s="42">
        <f>'Line - 1'!D66+'Line - 2'!D66</f>
        <v>0</v>
      </c>
      <c r="E66" s="42">
        <f>'Line - 1'!E66+'Line - 2'!E66</f>
        <v>0</v>
      </c>
      <c r="F66" s="42">
        <f>'Line - 1'!F66+'Line - 2'!F66</f>
        <v>1</v>
      </c>
      <c r="G66" s="42">
        <f>'Line - 1'!G66+'Line - 2'!G66</f>
        <v>0</v>
      </c>
      <c r="H66" s="42">
        <f>'Line - 1'!H66+'Line - 2'!H66</f>
        <v>1</v>
      </c>
      <c r="I66" s="42">
        <f>'Line - 1'!I66+'Line - 2'!I66</f>
        <v>0</v>
      </c>
      <c r="J66" s="42">
        <f>'Line - 1'!J66+'Line - 2'!J66</f>
        <v>0</v>
      </c>
      <c r="K66" s="42">
        <f>'Line - 1'!K66+'Line - 2'!K66</f>
        <v>1</v>
      </c>
      <c r="L66" s="42">
        <f>'Line - 1'!L66+'Line - 2'!L66</f>
        <v>1</v>
      </c>
      <c r="M66" s="42">
        <f>'Line - 1'!M66+'Line - 2'!M66</f>
        <v>0</v>
      </c>
      <c r="N66" s="42">
        <f>'Line - 1'!N66+'Line - 2'!N66</f>
        <v>0</v>
      </c>
      <c r="O66" s="42">
        <f>'Line - 1'!O66+'Line - 2'!O66</f>
        <v>0</v>
      </c>
      <c r="P66" s="42">
        <f>'Line - 1'!P66+'Line - 2'!P66</f>
        <v>2</v>
      </c>
      <c r="Q66" s="42">
        <f>'Line - 1'!Q66+'Line - 2'!Q66</f>
        <v>0</v>
      </c>
      <c r="R66" s="42">
        <f>'Line - 1'!R66+'Line - 2'!R66</f>
        <v>0</v>
      </c>
      <c r="S66" s="42">
        <f>'Line - 1'!S66+'Line - 2'!S66</f>
        <v>0</v>
      </c>
      <c r="T66" s="42">
        <f>'Line - 1'!T66+'Line - 2'!T66</f>
        <v>0</v>
      </c>
      <c r="U66" s="42">
        <f>'Line - 1'!U66+'Line - 2'!U66</f>
        <v>0</v>
      </c>
      <c r="V66" s="42">
        <f>'Line - 1'!V66+'Line - 2'!V66</f>
        <v>0</v>
      </c>
      <c r="W66" s="42">
        <f>'Line - 1'!W66+'Line - 2'!W66</f>
        <v>0</v>
      </c>
      <c r="X66" s="42">
        <f>'Line - 1'!X66+'Line - 2'!X66</f>
        <v>0</v>
      </c>
      <c r="Y66" s="42">
        <f>'Line - 1'!Y66+'Line - 2'!Y66</f>
        <v>0</v>
      </c>
      <c r="Z66" s="42">
        <f>'Line - 1'!Z66+'Line - 2'!Z66</f>
        <v>0</v>
      </c>
      <c r="AA66" s="42">
        <f>'Line - 1'!AA66+'Line - 2'!AA66</f>
        <v>0</v>
      </c>
      <c r="AB66" s="42">
        <f>'Line - 1'!AB66+'Line - 2'!AB66</f>
        <v>0</v>
      </c>
      <c r="AC66" s="42">
        <f>'Line - 1'!AC66+'Line - 2'!AC66</f>
        <v>0</v>
      </c>
      <c r="AD66" s="42">
        <f>'Line - 1'!AD66+'Line - 2'!AD66</f>
        <v>0</v>
      </c>
      <c r="AE66" s="42">
        <f>'Line - 1'!AE66+'Line - 2'!AE66</f>
        <v>0</v>
      </c>
      <c r="AF66" s="42">
        <f>'Line - 1'!AF66+'Line - 2'!AF66</f>
        <v>0</v>
      </c>
      <c r="AG66" s="30">
        <f t="shared" si="27"/>
        <v>6</v>
      </c>
    </row>
    <row r="67" spans="1:33" ht="15" customHeight="1">
      <c r="B67" s="9" t="s">
        <v>16</v>
      </c>
      <c r="C67" s="42">
        <f>'Line - 1'!C67+'Line - 2'!C67</f>
        <v>1</v>
      </c>
      <c r="D67" s="42">
        <f>'Line - 1'!D67+'Line - 2'!D67</f>
        <v>3</v>
      </c>
      <c r="E67" s="42">
        <f>'Line - 1'!E67+'Line - 2'!E67</f>
        <v>2</v>
      </c>
      <c r="F67" s="42">
        <f>'Line - 1'!F67+'Line - 2'!F67</f>
        <v>4</v>
      </c>
      <c r="G67" s="42">
        <f>'Line - 1'!G67+'Line - 2'!G67</f>
        <v>1</v>
      </c>
      <c r="H67" s="42">
        <f>'Line - 1'!H67+'Line - 2'!H67</f>
        <v>3</v>
      </c>
      <c r="I67" s="42">
        <f>'Line - 1'!I67+'Line - 2'!I67</f>
        <v>2</v>
      </c>
      <c r="J67" s="42">
        <f>'Line - 1'!J67+'Line - 2'!J67</f>
        <v>3</v>
      </c>
      <c r="K67" s="42">
        <f>'Line - 1'!K67+'Line - 2'!K67</f>
        <v>6</v>
      </c>
      <c r="L67" s="42">
        <f>'Line - 1'!L67+'Line - 2'!L67</f>
        <v>4</v>
      </c>
      <c r="M67" s="42">
        <f>'Line - 1'!M67+'Line - 2'!M67</f>
        <v>1</v>
      </c>
      <c r="N67" s="42">
        <f>'Line - 1'!N67+'Line - 2'!N67</f>
        <v>4</v>
      </c>
      <c r="O67" s="42">
        <f>'Line - 1'!O67+'Line - 2'!O67</f>
        <v>1</v>
      </c>
      <c r="P67" s="42">
        <f>'Line - 1'!P67+'Line - 2'!P67</f>
        <v>1</v>
      </c>
      <c r="Q67" s="42">
        <f>'Line - 1'!Q67+'Line - 2'!Q67</f>
        <v>4</v>
      </c>
      <c r="R67" s="42">
        <f>'Line - 1'!R67+'Line - 2'!R67</f>
        <v>1</v>
      </c>
      <c r="S67" s="42">
        <f>'Line - 1'!S67+'Line - 2'!S67</f>
        <v>0</v>
      </c>
      <c r="T67" s="42">
        <f>'Line - 1'!T67+'Line - 2'!T67</f>
        <v>4</v>
      </c>
      <c r="U67" s="42">
        <f>'Line - 1'!U67+'Line - 2'!U67</f>
        <v>3</v>
      </c>
      <c r="V67" s="42">
        <f>'Line - 1'!V67+'Line - 2'!V67</f>
        <v>6</v>
      </c>
      <c r="W67" s="42">
        <f>'Line - 1'!W67+'Line - 2'!W67</f>
        <v>3</v>
      </c>
      <c r="X67" s="42">
        <f>'Line - 1'!X67+'Line - 2'!X67</f>
        <v>7</v>
      </c>
      <c r="Y67" s="42">
        <f>'Line - 1'!Y67+'Line - 2'!Y67</f>
        <v>0</v>
      </c>
      <c r="Z67" s="42">
        <f>'Line - 1'!Z67+'Line - 2'!Z67</f>
        <v>0</v>
      </c>
      <c r="AA67" s="42">
        <f>'Line - 1'!AA67+'Line - 2'!AA67</f>
        <v>0</v>
      </c>
      <c r="AB67" s="42">
        <f>'Line - 1'!AB67+'Line - 2'!AB67</f>
        <v>0</v>
      </c>
      <c r="AC67" s="42">
        <f>'Line - 1'!AC67+'Line - 2'!AC67</f>
        <v>0</v>
      </c>
      <c r="AD67" s="42">
        <f>'Line - 1'!AD67+'Line - 2'!AD67</f>
        <v>0</v>
      </c>
      <c r="AE67" s="42">
        <f>'Line - 1'!AE67+'Line - 2'!AE67</f>
        <v>0</v>
      </c>
      <c r="AF67" s="42">
        <f>'Line - 1'!AF67+'Line - 2'!AF67</f>
        <v>0</v>
      </c>
      <c r="AG67" s="30">
        <f t="shared" si="27"/>
        <v>64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1:33" ht="15" customHeight="1"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3" ht="15" customHeight="1">
      <c r="B70" s="49" t="s">
        <v>46</v>
      </c>
      <c r="C70" s="49"/>
      <c r="D70" s="49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12">
        <f>'Line - 1'!C72+'Line - 2'!C72</f>
        <v>5147</v>
      </c>
      <c r="D72" s="12">
        <f>'Line - 1'!D72+'Line - 2'!D72</f>
        <v>4825</v>
      </c>
      <c r="E72" s="12">
        <f>'Line - 1'!E72+'Line - 2'!E72</f>
        <v>5114</v>
      </c>
      <c r="F72" s="12">
        <f>'Line - 1'!F72+'Line - 2'!F72</f>
        <v>4863</v>
      </c>
      <c r="G72" s="12">
        <f>'Line - 1'!G72+'Line - 2'!G72</f>
        <v>5011</v>
      </c>
      <c r="H72" s="12">
        <f>'Line - 1'!H72+'Line - 2'!H72</f>
        <v>4868</v>
      </c>
      <c r="I72" s="12">
        <f>'Line - 1'!I72+'Line - 2'!I72</f>
        <v>5201</v>
      </c>
      <c r="J72" s="12">
        <f>'Line - 1'!J72+'Line - 2'!J72</f>
        <v>5200</v>
      </c>
      <c r="K72" s="12">
        <f>'Line - 1'!K72+'Line - 2'!K72</f>
        <v>5149</v>
      </c>
      <c r="L72" s="12">
        <f>'Line - 1'!L72+'Line - 2'!L72</f>
        <v>5146</v>
      </c>
      <c r="M72" s="12">
        <f>'Line - 1'!M72+'Line - 2'!M72</f>
        <v>4304</v>
      </c>
      <c r="N72" s="12">
        <f>'Line - 1'!N72+'Line - 2'!N72</f>
        <v>5200</v>
      </c>
      <c r="O72" s="12">
        <f>'Line - 1'!O72+'Line - 2'!O72</f>
        <v>5200</v>
      </c>
      <c r="P72" s="12">
        <f>'Line - 1'!P72+'Line - 2'!P72</f>
        <v>5223</v>
      </c>
      <c r="Q72" s="12">
        <f>'Line - 1'!Q72+'Line - 2'!Q72</f>
        <v>5220</v>
      </c>
      <c r="R72" s="12">
        <f>'Line - 1'!R72+'Line - 2'!R72</f>
        <v>5201</v>
      </c>
      <c r="S72" s="12">
        <f>'Line - 1'!S72+'Line - 2'!S72</f>
        <v>0</v>
      </c>
      <c r="T72" s="12">
        <f>'Line - 1'!T72+'Line - 2'!T72</f>
        <v>4514</v>
      </c>
      <c r="U72" s="12">
        <f>'Line - 1'!U72+'Line - 2'!U72</f>
        <v>5202</v>
      </c>
      <c r="V72" s="12">
        <f>'Line - 1'!V72+'Line - 2'!V72</f>
        <v>5192</v>
      </c>
      <c r="W72" s="12">
        <f>'Line - 1'!W72+'Line - 2'!W72</f>
        <v>5203</v>
      </c>
      <c r="X72" s="12">
        <f>'Line - 1'!X72+'Line - 2'!X72</f>
        <v>5204</v>
      </c>
      <c r="Y72" s="12">
        <f>'Line - 1'!Y72+'Line - 2'!Y72</f>
        <v>0</v>
      </c>
      <c r="Z72" s="12">
        <f>'Line - 1'!Z72+'Line - 2'!Z72</f>
        <v>0</v>
      </c>
      <c r="AA72" s="12">
        <f>'Line - 1'!AA72+'Line - 2'!AA72</f>
        <v>0</v>
      </c>
      <c r="AB72" s="12">
        <f>'Line - 1'!AB72+'Line - 2'!AB72</f>
        <v>0</v>
      </c>
      <c r="AC72" s="12">
        <f>'Line - 1'!AC72+'Line - 2'!AC72</f>
        <v>0</v>
      </c>
      <c r="AD72" s="12">
        <f>'Line - 1'!AD72+'Line - 2'!AD72</f>
        <v>0</v>
      </c>
      <c r="AE72" s="12">
        <f>'Line - 1'!AE72+'Line - 2'!AE72</f>
        <v>0</v>
      </c>
      <c r="AF72" s="12">
        <f>'Line - 1'!AF72+'Line - 2'!AF72</f>
        <v>0</v>
      </c>
      <c r="AG72" s="30">
        <f>SUM(C72:AF72)</f>
        <v>106187</v>
      </c>
    </row>
    <row r="73" spans="1:33" ht="15" customHeight="1">
      <c r="B73" s="11" t="s">
        <v>4</v>
      </c>
      <c r="C73" s="12">
        <f t="shared" ref="C73:N73" si="28">+SUM(C75:C116)</f>
        <v>38</v>
      </c>
      <c r="D73" s="12">
        <f t="shared" si="28"/>
        <v>38</v>
      </c>
      <c r="E73" s="12">
        <f t="shared" si="28"/>
        <v>31</v>
      </c>
      <c r="F73" s="12">
        <f t="shared" si="28"/>
        <v>43</v>
      </c>
      <c r="G73" s="12">
        <f t="shared" si="28"/>
        <v>22</v>
      </c>
      <c r="H73" s="12">
        <f t="shared" si="28"/>
        <v>28</v>
      </c>
      <c r="I73" s="12">
        <f t="shared" si="28"/>
        <v>28</v>
      </c>
      <c r="J73" s="12">
        <f t="shared" si="28"/>
        <v>29</v>
      </c>
      <c r="K73" s="12">
        <f t="shared" si="28"/>
        <v>30</v>
      </c>
      <c r="L73" s="12">
        <f t="shared" si="28"/>
        <v>30</v>
      </c>
      <c r="M73" s="12">
        <f t="shared" si="28"/>
        <v>30</v>
      </c>
      <c r="N73" s="12">
        <f t="shared" si="28"/>
        <v>25</v>
      </c>
      <c r="O73" s="12">
        <f t="shared" ref="O73:P73" si="29">+SUM(O75:O116)</f>
        <v>31</v>
      </c>
      <c r="P73" s="12">
        <f t="shared" si="29"/>
        <v>38</v>
      </c>
      <c r="Q73" s="12">
        <f t="shared" ref="Q73:R73" si="30">+SUM(Q75:Q116)</f>
        <v>15</v>
      </c>
      <c r="R73" s="12">
        <f t="shared" si="30"/>
        <v>51</v>
      </c>
      <c r="S73" s="12">
        <f t="shared" ref="S73:AF73" si="31">+SUM(S75:S116)</f>
        <v>0</v>
      </c>
      <c r="T73" s="12">
        <f t="shared" si="31"/>
        <v>7</v>
      </c>
      <c r="U73" s="12">
        <f t="shared" si="31"/>
        <v>39</v>
      </c>
      <c r="V73" s="12">
        <f t="shared" si="31"/>
        <v>22</v>
      </c>
      <c r="W73" s="12">
        <f t="shared" si="31"/>
        <v>23</v>
      </c>
      <c r="X73" s="12">
        <f t="shared" si="31"/>
        <v>38</v>
      </c>
      <c r="Y73" s="12">
        <f t="shared" si="31"/>
        <v>0</v>
      </c>
      <c r="Z73" s="12">
        <f t="shared" si="31"/>
        <v>0</v>
      </c>
      <c r="AA73" s="12">
        <f t="shared" si="31"/>
        <v>0</v>
      </c>
      <c r="AB73" s="12">
        <f t="shared" si="31"/>
        <v>0</v>
      </c>
      <c r="AC73" s="12">
        <f t="shared" si="31"/>
        <v>0</v>
      </c>
      <c r="AD73" s="12">
        <f t="shared" si="31"/>
        <v>0</v>
      </c>
      <c r="AE73" s="12">
        <f t="shared" si="31"/>
        <v>0</v>
      </c>
      <c r="AF73" s="12">
        <f t="shared" si="31"/>
        <v>0</v>
      </c>
      <c r="AG73" s="30">
        <f>SUM(AG75:AG116)</f>
        <v>636</v>
      </c>
    </row>
    <row r="74" spans="1:33" s="6" customFormat="1" ht="15" customHeight="1">
      <c r="A74" s="6" t="s">
        <v>15</v>
      </c>
      <c r="B74" s="19" t="s">
        <v>5</v>
      </c>
      <c r="C74" s="20">
        <f>IF(C72=0,0,(C73/C72))</f>
        <v>7.3829415193316494E-3</v>
      </c>
      <c r="D74" s="20">
        <f>IF(D72=0,0,(D73/D72))</f>
        <v>7.8756476683937825E-3</v>
      </c>
      <c r="E74" s="20">
        <f t="shared" ref="E74:N74" si="32">IF(E72=0,0,(E73/E72))</f>
        <v>6.0617911615174032E-3</v>
      </c>
      <c r="F74" s="20">
        <f t="shared" si="32"/>
        <v>8.8422784289533211E-3</v>
      </c>
      <c r="G74" s="20">
        <f t="shared" si="32"/>
        <v>4.3903412492516461E-3</v>
      </c>
      <c r="H74" s="20">
        <f t="shared" si="32"/>
        <v>5.7518488085456041E-3</v>
      </c>
      <c r="I74" s="20">
        <f t="shared" si="32"/>
        <v>5.3835800807537013E-3</v>
      </c>
      <c r="J74" s="20">
        <f t="shared" si="32"/>
        <v>5.5769230769230765E-3</v>
      </c>
      <c r="K74" s="20">
        <f t="shared" si="32"/>
        <v>5.8263740532142165E-3</v>
      </c>
      <c r="L74" s="20">
        <f t="shared" si="32"/>
        <v>5.8297706956859695E-3</v>
      </c>
      <c r="M74" s="20">
        <f t="shared" si="32"/>
        <v>6.970260223048327E-3</v>
      </c>
      <c r="N74" s="20">
        <f t="shared" si="32"/>
        <v>4.807692307692308E-3</v>
      </c>
      <c r="O74" s="20">
        <f t="shared" ref="O74:P74" si="33">IF(O72=0,0,(O73/O72))</f>
        <v>5.9615384615384617E-3</v>
      </c>
      <c r="P74" s="20">
        <f t="shared" si="33"/>
        <v>7.2755121577637374E-3</v>
      </c>
      <c r="Q74" s="20">
        <f t="shared" ref="Q74:R74" si="34">IF(Q72=0,0,(Q73/Q72))</f>
        <v>2.8735632183908046E-3</v>
      </c>
      <c r="R74" s="20">
        <f t="shared" si="34"/>
        <v>9.805806575658528E-3</v>
      </c>
      <c r="S74" s="20">
        <f t="shared" ref="S74:AF74" si="35">IF(S72=0,0,(S73/S72))</f>
        <v>0</v>
      </c>
      <c r="T74" s="20">
        <f t="shared" si="35"/>
        <v>1.5507310589277803E-3</v>
      </c>
      <c r="U74" s="20">
        <f t="shared" si="35"/>
        <v>7.4971164936562858E-3</v>
      </c>
      <c r="V74" s="20">
        <f t="shared" si="35"/>
        <v>4.2372881355932203E-3</v>
      </c>
      <c r="W74" s="20">
        <f t="shared" si="35"/>
        <v>4.4205266192581206E-3</v>
      </c>
      <c r="X74" s="20">
        <f t="shared" si="35"/>
        <v>7.3020753266717911E-3</v>
      </c>
      <c r="Y74" s="20">
        <f t="shared" si="35"/>
        <v>0</v>
      </c>
      <c r="Z74" s="20">
        <f t="shared" si="35"/>
        <v>0</v>
      </c>
      <c r="AA74" s="20">
        <f t="shared" si="35"/>
        <v>0</v>
      </c>
      <c r="AB74" s="20">
        <f t="shared" si="35"/>
        <v>0</v>
      </c>
      <c r="AC74" s="20">
        <f t="shared" si="35"/>
        <v>0</v>
      </c>
      <c r="AD74" s="20">
        <f t="shared" si="35"/>
        <v>0</v>
      </c>
      <c r="AE74" s="20">
        <f t="shared" si="35"/>
        <v>0</v>
      </c>
      <c r="AF74" s="20">
        <f t="shared" si="35"/>
        <v>0</v>
      </c>
      <c r="AG74" s="20">
        <f>IF(AG72=0,0,(AG73/AG72))</f>
        <v>5.9894337348262968E-3</v>
      </c>
    </row>
    <row r="75" spans="1:33" ht="15" customHeight="1">
      <c r="B75" s="21" t="s">
        <v>30</v>
      </c>
      <c r="C75" s="42">
        <f>'Line - 1'!C75+'Line - 2'!C75</f>
        <v>27</v>
      </c>
      <c r="D75" s="42">
        <f>'Line - 1'!D75+'Line - 2'!D75</f>
        <v>33</v>
      </c>
      <c r="E75" s="42">
        <f>'Line - 1'!E75+'Line - 2'!E75</f>
        <v>24</v>
      </c>
      <c r="F75" s="42">
        <f>'Line - 1'!F75+'Line - 2'!F75</f>
        <v>21</v>
      </c>
      <c r="G75" s="42">
        <f>'Line - 1'!G75+'Line - 2'!G75</f>
        <v>7</v>
      </c>
      <c r="H75" s="42">
        <f>'Line - 1'!H75+'Line - 2'!H75</f>
        <v>18</v>
      </c>
      <c r="I75" s="42">
        <f>'Line - 1'!I75+'Line - 2'!I75</f>
        <v>13</v>
      </c>
      <c r="J75" s="42">
        <f>'Line - 1'!J75+'Line - 2'!J75</f>
        <v>13</v>
      </c>
      <c r="K75" s="42">
        <f>'Line - 1'!K75+'Line - 2'!K75</f>
        <v>14</v>
      </c>
      <c r="L75" s="42">
        <f>'Line - 1'!L75+'Line - 2'!L75</f>
        <v>12</v>
      </c>
      <c r="M75" s="42">
        <f>'Line - 1'!M75+'Line - 2'!M75</f>
        <v>9</v>
      </c>
      <c r="N75" s="42">
        <f>'Line - 1'!N75+'Line - 2'!N75</f>
        <v>10</v>
      </c>
      <c r="O75" s="42">
        <f>'Line - 1'!O75+'Line - 2'!O75</f>
        <v>22</v>
      </c>
      <c r="P75" s="42">
        <f>'Line - 1'!P75+'Line - 2'!P75</f>
        <v>26</v>
      </c>
      <c r="Q75" s="42">
        <f>'Line - 1'!Q75+'Line - 2'!Q75</f>
        <v>5</v>
      </c>
      <c r="R75" s="42">
        <f>'Line - 1'!R75+'Line - 2'!R75</f>
        <v>22</v>
      </c>
      <c r="S75" s="42">
        <f>'Line - 1'!S75+'Line - 2'!S75</f>
        <v>0</v>
      </c>
      <c r="T75" s="42">
        <f>'Line - 1'!T75+'Line - 2'!T75</f>
        <v>0</v>
      </c>
      <c r="U75" s="42">
        <f>'Line - 1'!U75+'Line - 2'!U75</f>
        <v>12</v>
      </c>
      <c r="V75" s="42">
        <f>'Line - 1'!V75+'Line - 2'!V75</f>
        <v>8</v>
      </c>
      <c r="W75" s="42">
        <f>'Line - 1'!W75+'Line - 2'!W75</f>
        <v>10</v>
      </c>
      <c r="X75" s="42">
        <f>'Line - 1'!X75+'Line - 2'!X75</f>
        <v>18</v>
      </c>
      <c r="Y75" s="42">
        <f>'Line - 1'!Y75+'Line - 2'!Y75</f>
        <v>0</v>
      </c>
      <c r="Z75" s="42">
        <f>'Line - 1'!Z75+'Line - 2'!Z75</f>
        <v>0</v>
      </c>
      <c r="AA75" s="42">
        <f>'Line - 1'!AA75+'Line - 2'!AA75</f>
        <v>0</v>
      </c>
      <c r="AB75" s="42">
        <f>'Line - 1'!AB75+'Line - 2'!AB75</f>
        <v>0</v>
      </c>
      <c r="AC75" s="42">
        <f>'Line - 1'!AC75+'Line - 2'!AC75</f>
        <v>0</v>
      </c>
      <c r="AD75" s="42">
        <f>'Line - 1'!AD75+'Line - 2'!AD75</f>
        <v>0</v>
      </c>
      <c r="AE75" s="42">
        <f>'Line - 1'!AE75+'Line - 2'!AE75</f>
        <v>0</v>
      </c>
      <c r="AF75" s="42">
        <f>'Line - 1'!AF75+'Line - 2'!AF75</f>
        <v>0</v>
      </c>
      <c r="AG75" s="30">
        <f t="shared" ref="AG75:AG116" si="36">+SUM(C75:AF75)</f>
        <v>324</v>
      </c>
    </row>
    <row r="76" spans="1:33" ht="15" customHeight="1">
      <c r="B76" s="21" t="s">
        <v>48</v>
      </c>
      <c r="C76" s="42">
        <f>'Line - 1'!C76+'Line - 2'!C76</f>
        <v>0</v>
      </c>
      <c r="D76" s="42">
        <f>'Line - 1'!D76+'Line - 2'!D76</f>
        <v>0</v>
      </c>
      <c r="E76" s="42">
        <f>'Line - 1'!E76+'Line - 2'!E76</f>
        <v>0</v>
      </c>
      <c r="F76" s="42">
        <f>'Line - 1'!F76+'Line - 2'!F76</f>
        <v>0</v>
      </c>
      <c r="G76" s="42">
        <f>'Line - 1'!G76+'Line - 2'!G76</f>
        <v>0</v>
      </c>
      <c r="H76" s="42">
        <f>'Line - 1'!H76+'Line - 2'!H76</f>
        <v>0</v>
      </c>
      <c r="I76" s="42">
        <f>'Line - 1'!I76+'Line - 2'!I76</f>
        <v>0</v>
      </c>
      <c r="J76" s="42">
        <f>'Line - 1'!J76+'Line - 2'!J76</f>
        <v>0</v>
      </c>
      <c r="K76" s="42">
        <f>'Line - 1'!K76+'Line - 2'!K76</f>
        <v>0</v>
      </c>
      <c r="L76" s="42">
        <f>'Line - 1'!L76+'Line - 2'!L76</f>
        <v>0</v>
      </c>
      <c r="M76" s="42">
        <f>'Line - 1'!M76+'Line - 2'!M76</f>
        <v>0</v>
      </c>
      <c r="N76" s="42">
        <f>'Line - 1'!N76+'Line - 2'!N76</f>
        <v>0</v>
      </c>
      <c r="O76" s="42">
        <f>'Line - 1'!O76+'Line - 2'!O76</f>
        <v>0</v>
      </c>
      <c r="P76" s="42">
        <f>'Line - 1'!P76+'Line - 2'!P76</f>
        <v>0</v>
      </c>
      <c r="Q76" s="42">
        <f>'Line - 1'!Q76+'Line - 2'!Q76</f>
        <v>0</v>
      </c>
      <c r="R76" s="42">
        <f>'Line - 1'!R76+'Line - 2'!R76</f>
        <v>0</v>
      </c>
      <c r="S76" s="42">
        <f>'Line - 1'!S76+'Line - 2'!S76</f>
        <v>0</v>
      </c>
      <c r="T76" s="42">
        <f>'Line - 1'!T76+'Line - 2'!T76</f>
        <v>0</v>
      </c>
      <c r="U76" s="42">
        <f>'Line - 1'!U76+'Line - 2'!U76</f>
        <v>0</v>
      </c>
      <c r="V76" s="42">
        <f>'Line - 1'!V76+'Line - 2'!V76</f>
        <v>0</v>
      </c>
      <c r="W76" s="42">
        <f>'Line - 1'!W76+'Line - 2'!W76</f>
        <v>0</v>
      </c>
      <c r="X76" s="42">
        <f>'Line - 1'!X76+'Line - 2'!X76</f>
        <v>0</v>
      </c>
      <c r="Y76" s="42">
        <f>'Line - 1'!Y76+'Line - 2'!Y76</f>
        <v>0</v>
      </c>
      <c r="Z76" s="42">
        <f>'Line - 1'!Z76+'Line - 2'!Z76</f>
        <v>0</v>
      </c>
      <c r="AA76" s="42">
        <f>'Line - 1'!AA76+'Line - 2'!AA76</f>
        <v>0</v>
      </c>
      <c r="AB76" s="42">
        <f>'Line - 1'!AB76+'Line - 2'!AB76</f>
        <v>0</v>
      </c>
      <c r="AC76" s="42">
        <f>'Line - 1'!AC76+'Line - 2'!AC76</f>
        <v>0</v>
      </c>
      <c r="AD76" s="42">
        <f>'Line - 1'!AD76+'Line - 2'!AD76</f>
        <v>0</v>
      </c>
      <c r="AE76" s="42">
        <f>'Line - 1'!AE76+'Line - 2'!AE76</f>
        <v>0</v>
      </c>
      <c r="AF76" s="42">
        <f>'Line - 1'!AF76+'Line - 2'!AF76</f>
        <v>0</v>
      </c>
      <c r="AG76" s="30">
        <f t="shared" si="36"/>
        <v>0</v>
      </c>
    </row>
    <row r="77" spans="1:33" ht="15" customHeight="1">
      <c r="B77" s="21" t="s">
        <v>17</v>
      </c>
      <c r="C77" s="42">
        <f>'Line - 1'!C77+'Line - 2'!C77</f>
        <v>1</v>
      </c>
      <c r="D77" s="42">
        <f>'Line - 1'!D77+'Line - 2'!D77</f>
        <v>0</v>
      </c>
      <c r="E77" s="42">
        <f>'Line - 1'!E77+'Line - 2'!E77</f>
        <v>0</v>
      </c>
      <c r="F77" s="42">
        <f>'Line - 1'!F77+'Line - 2'!F77</f>
        <v>3</v>
      </c>
      <c r="G77" s="42">
        <f>'Line - 1'!G77+'Line - 2'!G77</f>
        <v>3</v>
      </c>
      <c r="H77" s="42">
        <f>'Line - 1'!H77+'Line - 2'!H77</f>
        <v>1</v>
      </c>
      <c r="I77" s="42">
        <f>'Line - 1'!I77+'Line - 2'!I77</f>
        <v>1</v>
      </c>
      <c r="J77" s="42">
        <f>'Line - 1'!J77+'Line - 2'!J77</f>
        <v>0</v>
      </c>
      <c r="K77" s="42">
        <f>'Line - 1'!K77+'Line - 2'!K77</f>
        <v>0</v>
      </c>
      <c r="L77" s="42">
        <f>'Line - 1'!L77+'Line - 2'!L77</f>
        <v>1</v>
      </c>
      <c r="M77" s="42">
        <f>'Line - 1'!M77+'Line - 2'!M77</f>
        <v>2</v>
      </c>
      <c r="N77" s="42">
        <f>'Line - 1'!N77+'Line - 2'!N77</f>
        <v>2</v>
      </c>
      <c r="O77" s="42">
        <f>'Line - 1'!O77+'Line - 2'!O77</f>
        <v>2</v>
      </c>
      <c r="P77" s="42">
        <f>'Line - 1'!P77+'Line - 2'!P77</f>
        <v>0</v>
      </c>
      <c r="Q77" s="42">
        <f>'Line - 1'!Q77+'Line - 2'!Q77</f>
        <v>1</v>
      </c>
      <c r="R77" s="42">
        <f>'Line - 1'!R77+'Line - 2'!R77</f>
        <v>0</v>
      </c>
      <c r="S77" s="42">
        <f>'Line - 1'!S77+'Line - 2'!S77</f>
        <v>0</v>
      </c>
      <c r="T77" s="42">
        <f>'Line - 1'!T77+'Line - 2'!T77</f>
        <v>1</v>
      </c>
      <c r="U77" s="42">
        <f>'Line - 1'!U77+'Line - 2'!U77</f>
        <v>1</v>
      </c>
      <c r="V77" s="42">
        <f>'Line - 1'!V77+'Line - 2'!V77</f>
        <v>0</v>
      </c>
      <c r="W77" s="42">
        <f>'Line - 1'!W77+'Line - 2'!W77</f>
        <v>0</v>
      </c>
      <c r="X77" s="42">
        <f>'Line - 1'!X77+'Line - 2'!X77</f>
        <v>0</v>
      </c>
      <c r="Y77" s="42">
        <f>'Line - 1'!Y77+'Line - 2'!Y77</f>
        <v>0</v>
      </c>
      <c r="Z77" s="42">
        <f>'Line - 1'!Z77+'Line - 2'!Z77</f>
        <v>0</v>
      </c>
      <c r="AA77" s="42">
        <f>'Line - 1'!AA77+'Line - 2'!AA77</f>
        <v>0</v>
      </c>
      <c r="AB77" s="42">
        <f>'Line - 1'!AB77+'Line - 2'!AB77</f>
        <v>0</v>
      </c>
      <c r="AC77" s="42">
        <f>'Line - 1'!AC77+'Line - 2'!AC77</f>
        <v>0</v>
      </c>
      <c r="AD77" s="42">
        <f>'Line - 1'!AD77+'Line - 2'!AD77</f>
        <v>0</v>
      </c>
      <c r="AE77" s="42">
        <f>'Line - 1'!AE77+'Line - 2'!AE77</f>
        <v>0</v>
      </c>
      <c r="AF77" s="42">
        <f>'Line - 1'!AF77+'Line - 2'!AF77</f>
        <v>0</v>
      </c>
      <c r="AG77" s="30">
        <f t="shared" si="36"/>
        <v>19</v>
      </c>
    </row>
    <row r="78" spans="1:33" ht="15" customHeight="1">
      <c r="B78" s="21" t="s">
        <v>34</v>
      </c>
      <c r="C78" s="42">
        <f>'Line - 1'!C78+'Line - 2'!C78</f>
        <v>0</v>
      </c>
      <c r="D78" s="42">
        <f>'Line - 1'!D78+'Line - 2'!D78</f>
        <v>0</v>
      </c>
      <c r="E78" s="42">
        <f>'Line - 1'!E78+'Line - 2'!E78</f>
        <v>2</v>
      </c>
      <c r="F78" s="42">
        <f>'Line - 1'!F78+'Line - 2'!F78</f>
        <v>0</v>
      </c>
      <c r="G78" s="42">
        <f>'Line - 1'!G78+'Line - 2'!G78</f>
        <v>0</v>
      </c>
      <c r="H78" s="42">
        <f>'Line - 1'!H78+'Line - 2'!H78</f>
        <v>0</v>
      </c>
      <c r="I78" s="42">
        <f>'Line - 1'!I78+'Line - 2'!I78</f>
        <v>0</v>
      </c>
      <c r="J78" s="42">
        <f>'Line - 1'!J78+'Line - 2'!J78</f>
        <v>0</v>
      </c>
      <c r="K78" s="42">
        <f>'Line - 1'!K78+'Line - 2'!K78</f>
        <v>0</v>
      </c>
      <c r="L78" s="42">
        <f>'Line - 1'!L78+'Line - 2'!L78</f>
        <v>0</v>
      </c>
      <c r="M78" s="42">
        <f>'Line - 1'!M78+'Line - 2'!M78</f>
        <v>1</v>
      </c>
      <c r="N78" s="42">
        <f>'Line - 1'!N78+'Line - 2'!N78</f>
        <v>0</v>
      </c>
      <c r="O78" s="42">
        <f>'Line - 1'!O78+'Line - 2'!O78</f>
        <v>0</v>
      </c>
      <c r="P78" s="42">
        <f>'Line - 1'!P78+'Line - 2'!P78</f>
        <v>0</v>
      </c>
      <c r="Q78" s="42">
        <f>'Line - 1'!Q78+'Line - 2'!Q78</f>
        <v>0</v>
      </c>
      <c r="R78" s="42">
        <f>'Line - 1'!R78+'Line - 2'!R78</f>
        <v>1</v>
      </c>
      <c r="S78" s="42">
        <f>'Line - 1'!S78+'Line - 2'!S78</f>
        <v>0</v>
      </c>
      <c r="T78" s="42">
        <f>'Line - 1'!T78+'Line - 2'!T78</f>
        <v>0</v>
      </c>
      <c r="U78" s="42">
        <f>'Line - 1'!U78+'Line - 2'!U78</f>
        <v>0</v>
      </c>
      <c r="V78" s="42">
        <f>'Line - 1'!V78+'Line - 2'!V78</f>
        <v>0</v>
      </c>
      <c r="W78" s="42">
        <f>'Line - 1'!W78+'Line - 2'!W78</f>
        <v>1</v>
      </c>
      <c r="X78" s="42">
        <f>'Line - 1'!X78+'Line - 2'!X78</f>
        <v>1</v>
      </c>
      <c r="Y78" s="42">
        <f>'Line - 1'!Y78+'Line - 2'!Y78</f>
        <v>0</v>
      </c>
      <c r="Z78" s="42">
        <f>'Line - 1'!Z78+'Line - 2'!Z78</f>
        <v>0</v>
      </c>
      <c r="AA78" s="42">
        <f>'Line - 1'!AA78+'Line - 2'!AA78</f>
        <v>0</v>
      </c>
      <c r="AB78" s="42">
        <f>'Line - 1'!AB78+'Line - 2'!AB78</f>
        <v>0</v>
      </c>
      <c r="AC78" s="42">
        <f>'Line - 1'!AC78+'Line - 2'!AC78</f>
        <v>0</v>
      </c>
      <c r="AD78" s="42">
        <f>'Line - 1'!AD78+'Line - 2'!AD78</f>
        <v>0</v>
      </c>
      <c r="AE78" s="42">
        <f>'Line - 1'!AE78+'Line - 2'!AE78</f>
        <v>0</v>
      </c>
      <c r="AF78" s="42">
        <f>'Line - 1'!AF78+'Line - 2'!AF78</f>
        <v>0</v>
      </c>
      <c r="AG78" s="30">
        <f t="shared" si="36"/>
        <v>6</v>
      </c>
    </row>
    <row r="79" spans="1:33" ht="15" customHeight="1">
      <c r="B79" s="21" t="s">
        <v>49</v>
      </c>
      <c r="C79" s="42">
        <f>'Line - 1'!C79+'Line - 2'!C79</f>
        <v>0</v>
      </c>
      <c r="D79" s="42">
        <f>'Line - 1'!D79+'Line - 2'!D79</f>
        <v>0</v>
      </c>
      <c r="E79" s="42">
        <f>'Line - 1'!E79+'Line - 2'!E79</f>
        <v>0</v>
      </c>
      <c r="F79" s="42">
        <f>'Line - 1'!F79+'Line - 2'!F79</f>
        <v>0</v>
      </c>
      <c r="G79" s="42">
        <f>'Line - 1'!G79+'Line - 2'!G79</f>
        <v>0</v>
      </c>
      <c r="H79" s="42">
        <f>'Line - 1'!H79+'Line - 2'!H79</f>
        <v>0</v>
      </c>
      <c r="I79" s="42">
        <f>'Line - 1'!I79+'Line - 2'!I79</f>
        <v>0</v>
      </c>
      <c r="J79" s="42">
        <f>'Line - 1'!J79+'Line - 2'!J79</f>
        <v>0</v>
      </c>
      <c r="K79" s="42">
        <f>'Line - 1'!K79+'Line - 2'!K79</f>
        <v>0</v>
      </c>
      <c r="L79" s="42">
        <f>'Line - 1'!L79+'Line - 2'!L79</f>
        <v>0</v>
      </c>
      <c r="M79" s="42">
        <f>'Line - 1'!M79+'Line - 2'!M79</f>
        <v>0</v>
      </c>
      <c r="N79" s="42">
        <f>'Line - 1'!N79+'Line - 2'!N79</f>
        <v>0</v>
      </c>
      <c r="O79" s="42">
        <f>'Line - 1'!O79+'Line - 2'!O79</f>
        <v>0</v>
      </c>
      <c r="P79" s="42">
        <f>'Line - 1'!P79+'Line - 2'!P79</f>
        <v>0</v>
      </c>
      <c r="Q79" s="42">
        <f>'Line - 1'!Q79+'Line - 2'!Q79</f>
        <v>0</v>
      </c>
      <c r="R79" s="42">
        <f>'Line - 1'!R79+'Line - 2'!R79</f>
        <v>0</v>
      </c>
      <c r="S79" s="42">
        <f>'Line - 1'!S79+'Line - 2'!S79</f>
        <v>0</v>
      </c>
      <c r="T79" s="42">
        <f>'Line - 1'!T79+'Line - 2'!T79</f>
        <v>0</v>
      </c>
      <c r="U79" s="42">
        <f>'Line - 1'!U79+'Line - 2'!U79</f>
        <v>0</v>
      </c>
      <c r="V79" s="42">
        <f>'Line - 1'!V79+'Line - 2'!V79</f>
        <v>0</v>
      </c>
      <c r="W79" s="42">
        <f>'Line - 1'!W79+'Line - 2'!W79</f>
        <v>0</v>
      </c>
      <c r="X79" s="42">
        <f>'Line - 1'!X79+'Line - 2'!X79</f>
        <v>0</v>
      </c>
      <c r="Y79" s="42">
        <f>'Line - 1'!Y79+'Line - 2'!Y79</f>
        <v>0</v>
      </c>
      <c r="Z79" s="42">
        <f>'Line - 1'!Z79+'Line - 2'!Z79</f>
        <v>0</v>
      </c>
      <c r="AA79" s="42">
        <f>'Line - 1'!AA79+'Line - 2'!AA79</f>
        <v>0</v>
      </c>
      <c r="AB79" s="42">
        <f>'Line - 1'!AB79+'Line - 2'!AB79</f>
        <v>0</v>
      </c>
      <c r="AC79" s="42">
        <f>'Line - 1'!AC79+'Line - 2'!AC79</f>
        <v>0</v>
      </c>
      <c r="AD79" s="42">
        <f>'Line - 1'!AD79+'Line - 2'!AD79</f>
        <v>0</v>
      </c>
      <c r="AE79" s="42">
        <f>'Line - 1'!AE79+'Line - 2'!AE79</f>
        <v>0</v>
      </c>
      <c r="AF79" s="42">
        <f>'Line - 1'!AF79+'Line - 2'!AF79</f>
        <v>0</v>
      </c>
      <c r="AG79" s="30">
        <f t="shared" si="36"/>
        <v>0</v>
      </c>
    </row>
    <row r="80" spans="1:33" ht="15" customHeight="1">
      <c r="B80" s="21" t="s">
        <v>50</v>
      </c>
      <c r="C80" s="42">
        <f>'Line - 1'!C80+'Line - 2'!C80</f>
        <v>0</v>
      </c>
      <c r="D80" s="42">
        <f>'Line - 1'!D80+'Line - 2'!D80</f>
        <v>0</v>
      </c>
      <c r="E80" s="42">
        <f>'Line - 1'!E80+'Line - 2'!E80</f>
        <v>0</v>
      </c>
      <c r="F80" s="42">
        <f>'Line - 1'!F80+'Line - 2'!F80</f>
        <v>0</v>
      </c>
      <c r="G80" s="42">
        <f>'Line - 1'!G80+'Line - 2'!G80</f>
        <v>0</v>
      </c>
      <c r="H80" s="42">
        <f>'Line - 1'!H80+'Line - 2'!H80</f>
        <v>0</v>
      </c>
      <c r="I80" s="42">
        <f>'Line - 1'!I80+'Line - 2'!I80</f>
        <v>0</v>
      </c>
      <c r="J80" s="42">
        <f>'Line - 1'!J80+'Line - 2'!J80</f>
        <v>0</v>
      </c>
      <c r="K80" s="42">
        <f>'Line - 1'!K80+'Line - 2'!K80</f>
        <v>0</v>
      </c>
      <c r="L80" s="42">
        <f>'Line - 1'!L80+'Line - 2'!L80</f>
        <v>0</v>
      </c>
      <c r="M80" s="42">
        <f>'Line - 1'!M80+'Line - 2'!M80</f>
        <v>0</v>
      </c>
      <c r="N80" s="42">
        <f>'Line - 1'!N80+'Line - 2'!N80</f>
        <v>0</v>
      </c>
      <c r="O80" s="42">
        <f>'Line - 1'!O80+'Line - 2'!O80</f>
        <v>0</v>
      </c>
      <c r="P80" s="42">
        <f>'Line - 1'!P80+'Line - 2'!P80</f>
        <v>0</v>
      </c>
      <c r="Q80" s="42">
        <f>'Line - 1'!Q80+'Line - 2'!Q80</f>
        <v>0</v>
      </c>
      <c r="R80" s="42">
        <f>'Line - 1'!R80+'Line - 2'!R80</f>
        <v>0</v>
      </c>
      <c r="S80" s="42">
        <f>'Line - 1'!S80+'Line - 2'!S80</f>
        <v>0</v>
      </c>
      <c r="T80" s="42">
        <f>'Line - 1'!T80+'Line - 2'!T80</f>
        <v>0</v>
      </c>
      <c r="U80" s="42">
        <f>'Line - 1'!U80+'Line - 2'!U80</f>
        <v>0</v>
      </c>
      <c r="V80" s="42">
        <f>'Line - 1'!V80+'Line - 2'!V80</f>
        <v>0</v>
      </c>
      <c r="W80" s="42">
        <f>'Line - 1'!W80+'Line - 2'!W80</f>
        <v>0</v>
      </c>
      <c r="X80" s="42">
        <f>'Line - 1'!X80+'Line - 2'!X80</f>
        <v>0</v>
      </c>
      <c r="Y80" s="42">
        <f>'Line - 1'!Y80+'Line - 2'!Y80</f>
        <v>0</v>
      </c>
      <c r="Z80" s="42">
        <f>'Line - 1'!Z80+'Line - 2'!Z80</f>
        <v>0</v>
      </c>
      <c r="AA80" s="42">
        <f>'Line - 1'!AA80+'Line - 2'!AA80</f>
        <v>0</v>
      </c>
      <c r="AB80" s="42">
        <f>'Line - 1'!AB80+'Line - 2'!AB80</f>
        <v>0</v>
      </c>
      <c r="AC80" s="42">
        <f>'Line - 1'!AC80+'Line - 2'!AC80</f>
        <v>0</v>
      </c>
      <c r="AD80" s="42">
        <f>'Line - 1'!AD80+'Line - 2'!AD80</f>
        <v>0</v>
      </c>
      <c r="AE80" s="42">
        <f>'Line - 1'!AE80+'Line - 2'!AE80</f>
        <v>0</v>
      </c>
      <c r="AF80" s="42">
        <f>'Line - 1'!AF80+'Line - 2'!AF80</f>
        <v>0</v>
      </c>
      <c r="AG80" s="30">
        <f t="shared" si="36"/>
        <v>0</v>
      </c>
    </row>
    <row r="81" spans="2:33" ht="15" customHeight="1">
      <c r="B81" s="21" t="s">
        <v>10</v>
      </c>
      <c r="C81" s="42">
        <f>'Line - 1'!C81+'Line - 2'!C81</f>
        <v>0</v>
      </c>
      <c r="D81" s="42">
        <f>'Line - 1'!D81+'Line - 2'!D81</f>
        <v>1</v>
      </c>
      <c r="E81" s="42">
        <f>'Line - 1'!E81+'Line - 2'!E81</f>
        <v>0</v>
      </c>
      <c r="F81" s="42">
        <f>'Line - 1'!F81+'Line - 2'!F81</f>
        <v>0</v>
      </c>
      <c r="G81" s="42">
        <f>'Line - 1'!G81+'Line - 2'!G81</f>
        <v>0</v>
      </c>
      <c r="H81" s="42">
        <f>'Line - 1'!H81+'Line - 2'!H81</f>
        <v>0</v>
      </c>
      <c r="I81" s="42">
        <f>'Line - 1'!I81+'Line - 2'!I81</f>
        <v>0</v>
      </c>
      <c r="J81" s="42">
        <f>'Line - 1'!J81+'Line - 2'!J81</f>
        <v>0</v>
      </c>
      <c r="K81" s="42">
        <f>'Line - 1'!K81+'Line - 2'!K81</f>
        <v>0</v>
      </c>
      <c r="L81" s="42">
        <f>'Line - 1'!L81+'Line - 2'!L81</f>
        <v>0</v>
      </c>
      <c r="M81" s="42">
        <f>'Line - 1'!M81+'Line - 2'!M81</f>
        <v>0</v>
      </c>
      <c r="N81" s="42">
        <f>'Line - 1'!N81+'Line - 2'!N81</f>
        <v>0</v>
      </c>
      <c r="O81" s="42">
        <f>'Line - 1'!O81+'Line - 2'!O81</f>
        <v>0</v>
      </c>
      <c r="P81" s="42">
        <f>'Line - 1'!P81+'Line - 2'!P81</f>
        <v>0</v>
      </c>
      <c r="Q81" s="42">
        <f>'Line - 1'!Q81+'Line - 2'!Q81</f>
        <v>0</v>
      </c>
      <c r="R81" s="42">
        <f>'Line - 1'!R81+'Line - 2'!R81</f>
        <v>1</v>
      </c>
      <c r="S81" s="42">
        <f>'Line - 1'!S81+'Line - 2'!S81</f>
        <v>0</v>
      </c>
      <c r="T81" s="42">
        <f>'Line - 1'!T81+'Line - 2'!T81</f>
        <v>0</v>
      </c>
      <c r="U81" s="42">
        <f>'Line - 1'!U81+'Line - 2'!U81</f>
        <v>0</v>
      </c>
      <c r="V81" s="42">
        <f>'Line - 1'!V81+'Line - 2'!V81</f>
        <v>0</v>
      </c>
      <c r="W81" s="42">
        <f>'Line - 1'!W81+'Line - 2'!W81</f>
        <v>0</v>
      </c>
      <c r="X81" s="42">
        <f>'Line - 1'!X81+'Line - 2'!X81</f>
        <v>0</v>
      </c>
      <c r="Y81" s="42">
        <f>'Line - 1'!Y81+'Line - 2'!Y81</f>
        <v>0</v>
      </c>
      <c r="Z81" s="42">
        <f>'Line - 1'!Z81+'Line - 2'!Z81</f>
        <v>0</v>
      </c>
      <c r="AA81" s="42">
        <f>'Line - 1'!AA81+'Line - 2'!AA81</f>
        <v>0</v>
      </c>
      <c r="AB81" s="42">
        <f>'Line - 1'!AB81+'Line - 2'!AB81</f>
        <v>0</v>
      </c>
      <c r="AC81" s="42">
        <f>'Line - 1'!AC81+'Line - 2'!AC81</f>
        <v>0</v>
      </c>
      <c r="AD81" s="42">
        <f>'Line - 1'!AD81+'Line - 2'!AD81</f>
        <v>0</v>
      </c>
      <c r="AE81" s="42">
        <f>'Line - 1'!AE81+'Line - 2'!AE81</f>
        <v>0</v>
      </c>
      <c r="AF81" s="42">
        <f>'Line - 1'!AF81+'Line - 2'!AF81</f>
        <v>0</v>
      </c>
      <c r="AG81" s="30">
        <f t="shared" si="36"/>
        <v>2</v>
      </c>
    </row>
    <row r="82" spans="2:33" ht="15" customHeight="1">
      <c r="B82" s="21" t="s">
        <v>32</v>
      </c>
      <c r="C82" s="42">
        <f>'Line - 1'!C82+'Line - 2'!C82</f>
        <v>0</v>
      </c>
      <c r="D82" s="42">
        <f>'Line - 1'!D82+'Line - 2'!D82</f>
        <v>0</v>
      </c>
      <c r="E82" s="42">
        <f>'Line - 1'!E82+'Line - 2'!E82</f>
        <v>0</v>
      </c>
      <c r="F82" s="42">
        <f>'Line - 1'!F82+'Line - 2'!F82</f>
        <v>0</v>
      </c>
      <c r="G82" s="42">
        <f>'Line - 1'!G82+'Line - 2'!G82</f>
        <v>0</v>
      </c>
      <c r="H82" s="42">
        <f>'Line - 1'!H82+'Line - 2'!H82</f>
        <v>0</v>
      </c>
      <c r="I82" s="42">
        <f>'Line - 1'!I82+'Line - 2'!I82</f>
        <v>0</v>
      </c>
      <c r="J82" s="42">
        <f>'Line - 1'!J82+'Line - 2'!J82</f>
        <v>0</v>
      </c>
      <c r="K82" s="42">
        <f>'Line - 1'!K82+'Line - 2'!K82</f>
        <v>0</v>
      </c>
      <c r="L82" s="42">
        <f>'Line - 1'!L82+'Line - 2'!L82</f>
        <v>0</v>
      </c>
      <c r="M82" s="42">
        <f>'Line - 1'!M82+'Line - 2'!M82</f>
        <v>0</v>
      </c>
      <c r="N82" s="42">
        <f>'Line - 1'!N82+'Line - 2'!N82</f>
        <v>0</v>
      </c>
      <c r="O82" s="42">
        <f>'Line - 1'!O82+'Line - 2'!O82</f>
        <v>0</v>
      </c>
      <c r="P82" s="42">
        <f>'Line - 1'!P82+'Line - 2'!P82</f>
        <v>0</v>
      </c>
      <c r="Q82" s="42">
        <f>'Line - 1'!Q82+'Line - 2'!Q82</f>
        <v>0</v>
      </c>
      <c r="R82" s="42">
        <f>'Line - 1'!R82+'Line - 2'!R82</f>
        <v>0</v>
      </c>
      <c r="S82" s="42">
        <f>'Line - 1'!S82+'Line - 2'!S82</f>
        <v>0</v>
      </c>
      <c r="T82" s="42">
        <f>'Line - 1'!T82+'Line - 2'!T82</f>
        <v>0</v>
      </c>
      <c r="U82" s="42">
        <f>'Line - 1'!U82+'Line - 2'!U82</f>
        <v>0</v>
      </c>
      <c r="V82" s="42">
        <f>'Line - 1'!V82+'Line - 2'!V82</f>
        <v>0</v>
      </c>
      <c r="W82" s="42">
        <f>'Line - 1'!W82+'Line - 2'!W82</f>
        <v>0</v>
      </c>
      <c r="X82" s="42">
        <f>'Line - 1'!X82+'Line - 2'!X82</f>
        <v>0</v>
      </c>
      <c r="Y82" s="42">
        <f>'Line - 1'!Y82+'Line - 2'!Y82</f>
        <v>0</v>
      </c>
      <c r="Z82" s="42">
        <f>'Line - 1'!Z82+'Line - 2'!Z82</f>
        <v>0</v>
      </c>
      <c r="AA82" s="42">
        <f>'Line - 1'!AA82+'Line - 2'!AA82</f>
        <v>0</v>
      </c>
      <c r="AB82" s="42">
        <f>'Line - 1'!AB82+'Line - 2'!AB82</f>
        <v>0</v>
      </c>
      <c r="AC82" s="42">
        <f>'Line - 1'!AC82+'Line - 2'!AC82</f>
        <v>0</v>
      </c>
      <c r="AD82" s="42">
        <f>'Line - 1'!AD82+'Line - 2'!AD82</f>
        <v>0</v>
      </c>
      <c r="AE82" s="42">
        <f>'Line - 1'!AE82+'Line - 2'!AE82</f>
        <v>0</v>
      </c>
      <c r="AF82" s="42">
        <f>'Line - 1'!AF82+'Line - 2'!AF82</f>
        <v>0</v>
      </c>
      <c r="AG82" s="30">
        <f t="shared" si="36"/>
        <v>0</v>
      </c>
    </row>
    <row r="83" spans="2:33" ht="15" customHeight="1">
      <c r="B83" s="21" t="s">
        <v>8</v>
      </c>
      <c r="C83" s="42">
        <f>'Line - 1'!C83+'Line - 2'!C83</f>
        <v>0</v>
      </c>
      <c r="D83" s="42">
        <f>'Line - 1'!D83+'Line - 2'!D83</f>
        <v>0</v>
      </c>
      <c r="E83" s="42">
        <f>'Line - 1'!E83+'Line - 2'!E83</f>
        <v>0</v>
      </c>
      <c r="F83" s="42">
        <f>'Line - 1'!F83+'Line - 2'!F83</f>
        <v>0</v>
      </c>
      <c r="G83" s="42">
        <f>'Line - 1'!G83+'Line - 2'!G83</f>
        <v>0</v>
      </c>
      <c r="H83" s="42">
        <f>'Line - 1'!H83+'Line - 2'!H83</f>
        <v>0</v>
      </c>
      <c r="I83" s="42">
        <f>'Line - 1'!I83+'Line - 2'!I83</f>
        <v>0</v>
      </c>
      <c r="J83" s="42">
        <f>'Line - 1'!J83+'Line - 2'!J83</f>
        <v>0</v>
      </c>
      <c r="K83" s="42">
        <f>'Line - 1'!K83+'Line - 2'!K83</f>
        <v>0</v>
      </c>
      <c r="L83" s="42">
        <f>'Line - 1'!L83+'Line - 2'!L83</f>
        <v>0</v>
      </c>
      <c r="M83" s="42">
        <f>'Line - 1'!M83+'Line - 2'!M83</f>
        <v>0</v>
      </c>
      <c r="N83" s="42">
        <f>'Line - 1'!N83+'Line - 2'!N83</f>
        <v>0</v>
      </c>
      <c r="O83" s="42">
        <f>'Line - 1'!O83+'Line - 2'!O83</f>
        <v>0</v>
      </c>
      <c r="P83" s="42">
        <f>'Line - 1'!P83+'Line - 2'!P83</f>
        <v>0</v>
      </c>
      <c r="Q83" s="42">
        <f>'Line - 1'!Q83+'Line - 2'!Q83</f>
        <v>0</v>
      </c>
      <c r="R83" s="42">
        <f>'Line - 1'!R83+'Line - 2'!R83</f>
        <v>0</v>
      </c>
      <c r="S83" s="42">
        <f>'Line - 1'!S83+'Line - 2'!S83</f>
        <v>0</v>
      </c>
      <c r="T83" s="42">
        <f>'Line - 1'!T83+'Line - 2'!T83</f>
        <v>0</v>
      </c>
      <c r="U83" s="42">
        <f>'Line - 1'!U83+'Line - 2'!U83</f>
        <v>0</v>
      </c>
      <c r="V83" s="42">
        <f>'Line - 1'!V83+'Line - 2'!V83</f>
        <v>0</v>
      </c>
      <c r="W83" s="42">
        <f>'Line - 1'!W83+'Line - 2'!W83</f>
        <v>0</v>
      </c>
      <c r="X83" s="42">
        <f>'Line - 1'!X83+'Line - 2'!X83</f>
        <v>0</v>
      </c>
      <c r="Y83" s="42">
        <f>'Line - 1'!Y83+'Line - 2'!Y83</f>
        <v>0</v>
      </c>
      <c r="Z83" s="42">
        <f>'Line - 1'!Z83+'Line - 2'!Z83</f>
        <v>0</v>
      </c>
      <c r="AA83" s="42">
        <f>'Line - 1'!AA83+'Line - 2'!AA83</f>
        <v>0</v>
      </c>
      <c r="AB83" s="42">
        <f>'Line - 1'!AB83+'Line - 2'!AB83</f>
        <v>0</v>
      </c>
      <c r="AC83" s="42">
        <f>'Line - 1'!AC83+'Line - 2'!AC83</f>
        <v>0</v>
      </c>
      <c r="AD83" s="42">
        <f>'Line - 1'!AD83+'Line - 2'!AD83</f>
        <v>0</v>
      </c>
      <c r="AE83" s="42">
        <f>'Line - 1'!AE83+'Line - 2'!AE83</f>
        <v>0</v>
      </c>
      <c r="AF83" s="42">
        <f>'Line - 1'!AF83+'Line - 2'!AF83</f>
        <v>0</v>
      </c>
      <c r="AG83" s="30">
        <f t="shared" si="36"/>
        <v>0</v>
      </c>
    </row>
    <row r="84" spans="2:33" ht="15" customHeight="1">
      <c r="B84" s="21" t="s">
        <v>35</v>
      </c>
      <c r="C84" s="42">
        <f>'Line - 1'!C84+'Line - 2'!C84</f>
        <v>0</v>
      </c>
      <c r="D84" s="42">
        <f>'Line - 1'!D84+'Line - 2'!D84</f>
        <v>0</v>
      </c>
      <c r="E84" s="42">
        <f>'Line - 1'!E84+'Line - 2'!E84</f>
        <v>0</v>
      </c>
      <c r="F84" s="42">
        <f>'Line - 1'!F84+'Line - 2'!F84</f>
        <v>0</v>
      </c>
      <c r="G84" s="42">
        <f>'Line - 1'!G84+'Line - 2'!G84</f>
        <v>0</v>
      </c>
      <c r="H84" s="42">
        <f>'Line - 1'!H84+'Line - 2'!H84</f>
        <v>0</v>
      </c>
      <c r="I84" s="42">
        <f>'Line - 1'!I84+'Line - 2'!I84</f>
        <v>0</v>
      </c>
      <c r="J84" s="42">
        <f>'Line - 1'!J84+'Line - 2'!J84</f>
        <v>0</v>
      </c>
      <c r="K84" s="42">
        <f>'Line - 1'!K84+'Line - 2'!K84</f>
        <v>0</v>
      </c>
      <c r="L84" s="42">
        <f>'Line - 1'!L84+'Line - 2'!L84</f>
        <v>0</v>
      </c>
      <c r="M84" s="42">
        <f>'Line - 1'!M84+'Line - 2'!M84</f>
        <v>0</v>
      </c>
      <c r="N84" s="42">
        <f>'Line - 1'!N84+'Line - 2'!N84</f>
        <v>0</v>
      </c>
      <c r="O84" s="42">
        <f>'Line - 1'!O84+'Line - 2'!O84</f>
        <v>0</v>
      </c>
      <c r="P84" s="42">
        <f>'Line - 1'!P84+'Line - 2'!P84</f>
        <v>0</v>
      </c>
      <c r="Q84" s="42">
        <f>'Line - 1'!Q84+'Line - 2'!Q84</f>
        <v>0</v>
      </c>
      <c r="R84" s="42">
        <f>'Line - 1'!R84+'Line - 2'!R84</f>
        <v>0</v>
      </c>
      <c r="S84" s="42">
        <f>'Line - 1'!S84+'Line - 2'!S84</f>
        <v>0</v>
      </c>
      <c r="T84" s="42">
        <f>'Line - 1'!T84+'Line - 2'!T84</f>
        <v>0</v>
      </c>
      <c r="U84" s="42">
        <f>'Line - 1'!U84+'Line - 2'!U84</f>
        <v>0</v>
      </c>
      <c r="V84" s="42">
        <f>'Line - 1'!V84+'Line - 2'!V84</f>
        <v>0</v>
      </c>
      <c r="W84" s="42">
        <f>'Line - 1'!W84+'Line - 2'!W84</f>
        <v>0</v>
      </c>
      <c r="X84" s="42">
        <f>'Line - 1'!X84+'Line - 2'!X84</f>
        <v>0</v>
      </c>
      <c r="Y84" s="42">
        <f>'Line - 1'!Y84+'Line - 2'!Y84</f>
        <v>0</v>
      </c>
      <c r="Z84" s="42">
        <f>'Line - 1'!Z84+'Line - 2'!Z84</f>
        <v>0</v>
      </c>
      <c r="AA84" s="42">
        <f>'Line - 1'!AA84+'Line - 2'!AA84</f>
        <v>0</v>
      </c>
      <c r="AB84" s="42">
        <f>'Line - 1'!AB84+'Line - 2'!AB84</f>
        <v>0</v>
      </c>
      <c r="AC84" s="42">
        <f>'Line - 1'!AC84+'Line - 2'!AC84</f>
        <v>0</v>
      </c>
      <c r="AD84" s="42">
        <f>'Line - 1'!AD84+'Line - 2'!AD84</f>
        <v>0</v>
      </c>
      <c r="AE84" s="42">
        <f>'Line - 1'!AE84+'Line - 2'!AE84</f>
        <v>0</v>
      </c>
      <c r="AF84" s="42">
        <f>'Line - 1'!AF84+'Line - 2'!AF84</f>
        <v>0</v>
      </c>
      <c r="AG84" s="30">
        <f t="shared" si="36"/>
        <v>0</v>
      </c>
    </row>
    <row r="85" spans="2:33" ht="15" customHeight="1">
      <c r="B85" s="21" t="s">
        <v>28</v>
      </c>
      <c r="C85" s="42">
        <f>'Line - 1'!C85+'Line - 2'!C85</f>
        <v>1</v>
      </c>
      <c r="D85" s="42">
        <f>'Line - 1'!D85+'Line - 2'!D85</f>
        <v>0</v>
      </c>
      <c r="E85" s="42">
        <f>'Line - 1'!E85+'Line - 2'!E85</f>
        <v>1</v>
      </c>
      <c r="F85" s="42">
        <f>'Line - 1'!F85+'Line - 2'!F85</f>
        <v>1</v>
      </c>
      <c r="G85" s="42">
        <f>'Line - 1'!G85+'Line - 2'!G85</f>
        <v>2</v>
      </c>
      <c r="H85" s="42">
        <f>'Line - 1'!H85+'Line - 2'!H85</f>
        <v>1</v>
      </c>
      <c r="I85" s="42">
        <f>'Line - 1'!I85+'Line - 2'!I85</f>
        <v>1</v>
      </c>
      <c r="J85" s="42">
        <f>'Line - 1'!J85+'Line - 2'!J85</f>
        <v>1</v>
      </c>
      <c r="K85" s="42">
        <f>'Line - 1'!K85+'Line - 2'!K85</f>
        <v>0</v>
      </c>
      <c r="L85" s="42">
        <f>'Line - 1'!L85+'Line - 2'!L85</f>
        <v>0</v>
      </c>
      <c r="M85" s="42">
        <f>'Line - 1'!M85+'Line - 2'!M85</f>
        <v>2</v>
      </c>
      <c r="N85" s="42">
        <f>'Line - 1'!N85+'Line - 2'!N85</f>
        <v>1</v>
      </c>
      <c r="O85" s="42">
        <f>'Line - 1'!O85+'Line - 2'!O85</f>
        <v>1</v>
      </c>
      <c r="P85" s="42">
        <f>'Line - 1'!P85+'Line - 2'!P85</f>
        <v>1</v>
      </c>
      <c r="Q85" s="42">
        <f>'Line - 1'!Q85+'Line - 2'!Q85</f>
        <v>0</v>
      </c>
      <c r="R85" s="42">
        <f>'Line - 1'!R85+'Line - 2'!R85</f>
        <v>0</v>
      </c>
      <c r="S85" s="42">
        <f>'Line - 1'!S85+'Line - 2'!S85</f>
        <v>0</v>
      </c>
      <c r="T85" s="42">
        <f>'Line - 1'!T85+'Line - 2'!T85</f>
        <v>0</v>
      </c>
      <c r="U85" s="42">
        <f>'Line - 1'!U85+'Line - 2'!U85</f>
        <v>2</v>
      </c>
      <c r="V85" s="42">
        <f>'Line - 1'!V85+'Line - 2'!V85</f>
        <v>1</v>
      </c>
      <c r="W85" s="42">
        <f>'Line - 1'!W85+'Line - 2'!W85</f>
        <v>0</v>
      </c>
      <c r="X85" s="42">
        <f>'Line - 1'!X85+'Line - 2'!X85</f>
        <v>0</v>
      </c>
      <c r="Y85" s="42">
        <f>'Line - 1'!Y85+'Line - 2'!Y85</f>
        <v>0</v>
      </c>
      <c r="Z85" s="42">
        <f>'Line - 1'!Z85+'Line - 2'!Z85</f>
        <v>0</v>
      </c>
      <c r="AA85" s="42">
        <f>'Line - 1'!AA85+'Line - 2'!AA85</f>
        <v>0</v>
      </c>
      <c r="AB85" s="42">
        <f>'Line - 1'!AB85+'Line - 2'!AB85</f>
        <v>0</v>
      </c>
      <c r="AC85" s="42">
        <f>'Line - 1'!AC85+'Line - 2'!AC85</f>
        <v>0</v>
      </c>
      <c r="AD85" s="42">
        <f>'Line - 1'!AD85+'Line - 2'!AD85</f>
        <v>0</v>
      </c>
      <c r="AE85" s="42">
        <f>'Line - 1'!AE85+'Line - 2'!AE85</f>
        <v>0</v>
      </c>
      <c r="AF85" s="42">
        <f>'Line - 1'!AF85+'Line - 2'!AF85</f>
        <v>0</v>
      </c>
      <c r="AG85" s="30">
        <f t="shared" si="36"/>
        <v>16</v>
      </c>
    </row>
    <row r="86" spans="2:33" ht="15" customHeight="1">
      <c r="B86" s="21" t="s">
        <v>7</v>
      </c>
      <c r="C86" s="42">
        <f>'Line - 1'!C86+'Line - 2'!C86</f>
        <v>0</v>
      </c>
      <c r="D86" s="42">
        <f>'Line - 1'!D86+'Line - 2'!D86</f>
        <v>0</v>
      </c>
      <c r="E86" s="42">
        <f>'Line - 1'!E86+'Line - 2'!E86</f>
        <v>0</v>
      </c>
      <c r="F86" s="42">
        <f>'Line - 1'!F86+'Line - 2'!F86</f>
        <v>1</v>
      </c>
      <c r="G86" s="42">
        <f>'Line - 1'!G86+'Line - 2'!G86</f>
        <v>0</v>
      </c>
      <c r="H86" s="42">
        <f>'Line - 1'!H86+'Line - 2'!H86</f>
        <v>0</v>
      </c>
      <c r="I86" s="42">
        <f>'Line - 1'!I86+'Line - 2'!I86</f>
        <v>3</v>
      </c>
      <c r="J86" s="42">
        <f>'Line - 1'!J86+'Line - 2'!J86</f>
        <v>2</v>
      </c>
      <c r="K86" s="42">
        <f>'Line - 1'!K86+'Line - 2'!K86</f>
        <v>1</v>
      </c>
      <c r="L86" s="42">
        <f>'Line - 1'!L86+'Line - 2'!L86</f>
        <v>2</v>
      </c>
      <c r="M86" s="42">
        <f>'Line - 1'!M86+'Line - 2'!M86</f>
        <v>0</v>
      </c>
      <c r="N86" s="42">
        <f>'Line - 1'!N86+'Line - 2'!N86</f>
        <v>1</v>
      </c>
      <c r="O86" s="42">
        <f>'Line - 1'!O86+'Line - 2'!O86</f>
        <v>0</v>
      </c>
      <c r="P86" s="42">
        <f>'Line - 1'!P86+'Line - 2'!P86</f>
        <v>0</v>
      </c>
      <c r="Q86" s="42">
        <f>'Line - 1'!Q86+'Line - 2'!Q86</f>
        <v>0</v>
      </c>
      <c r="R86" s="42">
        <f>'Line - 1'!R86+'Line - 2'!R86</f>
        <v>0</v>
      </c>
      <c r="S86" s="42">
        <f>'Line - 1'!S86+'Line - 2'!S86</f>
        <v>0</v>
      </c>
      <c r="T86" s="42">
        <f>'Line - 1'!T86+'Line - 2'!T86</f>
        <v>0</v>
      </c>
      <c r="U86" s="42">
        <f>'Line - 1'!U86+'Line - 2'!U86</f>
        <v>0</v>
      </c>
      <c r="V86" s="42">
        <f>'Line - 1'!V86+'Line - 2'!V86</f>
        <v>0</v>
      </c>
      <c r="W86" s="42">
        <f>'Line - 1'!W86+'Line - 2'!W86</f>
        <v>1</v>
      </c>
      <c r="X86" s="42">
        <f>'Line - 1'!X86+'Line - 2'!X86</f>
        <v>1</v>
      </c>
      <c r="Y86" s="42">
        <f>'Line - 1'!Y86+'Line - 2'!Y86</f>
        <v>0</v>
      </c>
      <c r="Z86" s="42">
        <f>'Line - 1'!Z86+'Line - 2'!Z86</f>
        <v>0</v>
      </c>
      <c r="AA86" s="42">
        <f>'Line - 1'!AA86+'Line - 2'!AA86</f>
        <v>0</v>
      </c>
      <c r="AB86" s="42">
        <f>'Line - 1'!AB86+'Line - 2'!AB86</f>
        <v>0</v>
      </c>
      <c r="AC86" s="42">
        <f>'Line - 1'!AC86+'Line - 2'!AC86</f>
        <v>0</v>
      </c>
      <c r="AD86" s="42">
        <f>'Line - 1'!AD86+'Line - 2'!AD86</f>
        <v>0</v>
      </c>
      <c r="AE86" s="42">
        <f>'Line - 1'!AE86+'Line - 2'!AE86</f>
        <v>0</v>
      </c>
      <c r="AF86" s="42">
        <f>'Line - 1'!AF86+'Line - 2'!AF86</f>
        <v>0</v>
      </c>
      <c r="AG86" s="30">
        <f t="shared" si="36"/>
        <v>12</v>
      </c>
    </row>
    <row r="87" spans="2:33" ht="15" customHeight="1">
      <c r="B87" s="21" t="s">
        <v>13</v>
      </c>
      <c r="C87" s="42">
        <f>'Line - 1'!C87+'Line - 2'!C87</f>
        <v>0</v>
      </c>
      <c r="D87" s="42">
        <f>'Line - 1'!D87+'Line - 2'!D87</f>
        <v>0</v>
      </c>
      <c r="E87" s="42">
        <f>'Line - 1'!E87+'Line - 2'!E87</f>
        <v>0</v>
      </c>
      <c r="F87" s="42">
        <f>'Line - 1'!F87+'Line - 2'!F87</f>
        <v>0</v>
      </c>
      <c r="G87" s="42">
        <f>'Line - 1'!G87+'Line - 2'!G87</f>
        <v>0</v>
      </c>
      <c r="H87" s="42">
        <f>'Line - 1'!H87+'Line - 2'!H87</f>
        <v>0</v>
      </c>
      <c r="I87" s="42">
        <f>'Line - 1'!I87+'Line - 2'!I87</f>
        <v>0</v>
      </c>
      <c r="J87" s="42">
        <f>'Line - 1'!J87+'Line - 2'!J87</f>
        <v>0</v>
      </c>
      <c r="K87" s="42">
        <f>'Line - 1'!K87+'Line - 2'!K87</f>
        <v>0</v>
      </c>
      <c r="L87" s="42">
        <f>'Line - 1'!L87+'Line - 2'!L87</f>
        <v>0</v>
      </c>
      <c r="M87" s="42">
        <f>'Line - 1'!M87+'Line - 2'!M87</f>
        <v>0</v>
      </c>
      <c r="N87" s="42">
        <f>'Line - 1'!N87+'Line - 2'!N87</f>
        <v>0</v>
      </c>
      <c r="O87" s="42">
        <f>'Line - 1'!O87+'Line - 2'!O87</f>
        <v>0</v>
      </c>
      <c r="P87" s="42">
        <f>'Line - 1'!P87+'Line - 2'!P87</f>
        <v>0</v>
      </c>
      <c r="Q87" s="42">
        <f>'Line - 1'!Q87+'Line - 2'!Q87</f>
        <v>0</v>
      </c>
      <c r="R87" s="42">
        <f>'Line - 1'!R87+'Line - 2'!R87</f>
        <v>0</v>
      </c>
      <c r="S87" s="42">
        <f>'Line - 1'!S87+'Line - 2'!S87</f>
        <v>0</v>
      </c>
      <c r="T87" s="42">
        <f>'Line - 1'!T87+'Line - 2'!T87</f>
        <v>0</v>
      </c>
      <c r="U87" s="42">
        <f>'Line - 1'!U87+'Line - 2'!U87</f>
        <v>0</v>
      </c>
      <c r="V87" s="42">
        <f>'Line - 1'!V87+'Line - 2'!V87</f>
        <v>1</v>
      </c>
      <c r="W87" s="42">
        <f>'Line - 1'!W87+'Line - 2'!W87</f>
        <v>0</v>
      </c>
      <c r="X87" s="42">
        <f>'Line - 1'!X87+'Line - 2'!X87</f>
        <v>0</v>
      </c>
      <c r="Y87" s="42">
        <f>'Line - 1'!Y87+'Line - 2'!Y87</f>
        <v>0</v>
      </c>
      <c r="Z87" s="42">
        <f>'Line - 1'!Z87+'Line - 2'!Z87</f>
        <v>0</v>
      </c>
      <c r="AA87" s="42">
        <f>'Line - 1'!AA87+'Line - 2'!AA87</f>
        <v>0</v>
      </c>
      <c r="AB87" s="42">
        <f>'Line - 1'!AB87+'Line - 2'!AB87</f>
        <v>0</v>
      </c>
      <c r="AC87" s="42">
        <f>'Line - 1'!AC87+'Line - 2'!AC87</f>
        <v>0</v>
      </c>
      <c r="AD87" s="42">
        <f>'Line - 1'!AD87+'Line - 2'!AD87</f>
        <v>0</v>
      </c>
      <c r="AE87" s="42">
        <f>'Line - 1'!AE87+'Line - 2'!AE87</f>
        <v>0</v>
      </c>
      <c r="AF87" s="42">
        <f>'Line - 1'!AF87+'Line - 2'!AF87</f>
        <v>0</v>
      </c>
      <c r="AG87" s="30">
        <f t="shared" si="36"/>
        <v>1</v>
      </c>
    </row>
    <row r="88" spans="2:33" ht="15" customHeight="1">
      <c r="B88" s="21" t="s">
        <v>51</v>
      </c>
      <c r="C88" s="42">
        <f>'Line - 1'!C88+'Line - 2'!C88</f>
        <v>0</v>
      </c>
      <c r="D88" s="42">
        <f>'Line - 1'!D88+'Line - 2'!D88</f>
        <v>0</v>
      </c>
      <c r="E88" s="42">
        <f>'Line - 1'!E88+'Line - 2'!E88</f>
        <v>0</v>
      </c>
      <c r="F88" s="42">
        <f>'Line - 1'!F88+'Line - 2'!F88</f>
        <v>0</v>
      </c>
      <c r="G88" s="42">
        <f>'Line - 1'!G88+'Line - 2'!G88</f>
        <v>0</v>
      </c>
      <c r="H88" s="42">
        <f>'Line - 1'!H88+'Line - 2'!H88</f>
        <v>0</v>
      </c>
      <c r="I88" s="42">
        <f>'Line - 1'!I88+'Line - 2'!I88</f>
        <v>0</v>
      </c>
      <c r="J88" s="42">
        <f>'Line - 1'!J88+'Line - 2'!J88</f>
        <v>0</v>
      </c>
      <c r="K88" s="42">
        <f>'Line - 1'!K88+'Line - 2'!K88</f>
        <v>0</v>
      </c>
      <c r="L88" s="42">
        <f>'Line - 1'!L88+'Line - 2'!L88</f>
        <v>0</v>
      </c>
      <c r="M88" s="42">
        <f>'Line - 1'!M88+'Line - 2'!M88</f>
        <v>1</v>
      </c>
      <c r="N88" s="42">
        <f>'Line - 1'!N88+'Line - 2'!N88</f>
        <v>0</v>
      </c>
      <c r="O88" s="42">
        <f>'Line - 1'!O88+'Line - 2'!O88</f>
        <v>0</v>
      </c>
      <c r="P88" s="42">
        <f>'Line - 1'!P88+'Line - 2'!P88</f>
        <v>0</v>
      </c>
      <c r="Q88" s="42">
        <f>'Line - 1'!Q88+'Line - 2'!Q88</f>
        <v>0</v>
      </c>
      <c r="R88" s="42">
        <f>'Line - 1'!R88+'Line - 2'!R88</f>
        <v>0</v>
      </c>
      <c r="S88" s="42">
        <f>'Line - 1'!S88+'Line - 2'!S88</f>
        <v>0</v>
      </c>
      <c r="T88" s="42">
        <f>'Line - 1'!T88+'Line - 2'!T88</f>
        <v>0</v>
      </c>
      <c r="U88" s="42">
        <f>'Line - 1'!U88+'Line - 2'!U88</f>
        <v>0</v>
      </c>
      <c r="V88" s="42">
        <f>'Line - 1'!V88+'Line - 2'!V88</f>
        <v>0</v>
      </c>
      <c r="W88" s="42">
        <f>'Line - 1'!W88+'Line - 2'!W88</f>
        <v>0</v>
      </c>
      <c r="X88" s="42">
        <f>'Line - 1'!X88+'Line - 2'!X88</f>
        <v>0</v>
      </c>
      <c r="Y88" s="42">
        <f>'Line - 1'!Y88+'Line - 2'!Y88</f>
        <v>0</v>
      </c>
      <c r="Z88" s="42">
        <f>'Line - 1'!Z88+'Line - 2'!Z88</f>
        <v>0</v>
      </c>
      <c r="AA88" s="42">
        <f>'Line - 1'!AA88+'Line - 2'!AA88</f>
        <v>0</v>
      </c>
      <c r="AB88" s="42">
        <f>'Line - 1'!AB88+'Line - 2'!AB88</f>
        <v>0</v>
      </c>
      <c r="AC88" s="42">
        <f>'Line - 1'!AC88+'Line - 2'!AC88</f>
        <v>0</v>
      </c>
      <c r="AD88" s="42">
        <f>'Line - 1'!AD88+'Line - 2'!AD88</f>
        <v>0</v>
      </c>
      <c r="AE88" s="42">
        <f>'Line - 1'!AE88+'Line - 2'!AE88</f>
        <v>0</v>
      </c>
      <c r="AF88" s="42">
        <f>'Line - 1'!AF88+'Line - 2'!AF88</f>
        <v>0</v>
      </c>
      <c r="AG88" s="30">
        <f t="shared" si="36"/>
        <v>1</v>
      </c>
    </row>
    <row r="89" spans="2:33" ht="15" customHeight="1">
      <c r="B89" s="21" t="s">
        <v>52</v>
      </c>
      <c r="C89" s="42">
        <f>'Line - 1'!C89+'Line - 2'!C89</f>
        <v>0</v>
      </c>
      <c r="D89" s="42">
        <f>'Line - 1'!D89+'Line - 2'!D89</f>
        <v>0</v>
      </c>
      <c r="E89" s="42">
        <f>'Line - 1'!E89+'Line - 2'!E89</f>
        <v>0</v>
      </c>
      <c r="F89" s="42">
        <f>'Line - 1'!F89+'Line - 2'!F89</f>
        <v>0</v>
      </c>
      <c r="G89" s="42">
        <f>'Line - 1'!G89+'Line - 2'!G89</f>
        <v>0</v>
      </c>
      <c r="H89" s="42">
        <f>'Line - 1'!H89+'Line - 2'!H89</f>
        <v>0</v>
      </c>
      <c r="I89" s="42">
        <f>'Line - 1'!I89+'Line - 2'!I89</f>
        <v>0</v>
      </c>
      <c r="J89" s="42">
        <f>'Line - 1'!J89+'Line - 2'!J89</f>
        <v>1</v>
      </c>
      <c r="K89" s="42">
        <f>'Line - 1'!K89+'Line - 2'!K89</f>
        <v>0</v>
      </c>
      <c r="L89" s="42">
        <f>'Line - 1'!L89+'Line - 2'!L89</f>
        <v>0</v>
      </c>
      <c r="M89" s="42">
        <f>'Line - 1'!M89+'Line - 2'!M89</f>
        <v>0</v>
      </c>
      <c r="N89" s="42">
        <f>'Line - 1'!N89+'Line - 2'!N89</f>
        <v>0</v>
      </c>
      <c r="O89" s="42">
        <f>'Line - 1'!O89+'Line - 2'!O89</f>
        <v>0</v>
      </c>
      <c r="P89" s="42">
        <f>'Line - 1'!P89+'Line - 2'!P89</f>
        <v>0</v>
      </c>
      <c r="Q89" s="42">
        <f>'Line - 1'!Q89+'Line - 2'!Q89</f>
        <v>0</v>
      </c>
      <c r="R89" s="42">
        <f>'Line - 1'!R89+'Line - 2'!R89</f>
        <v>0</v>
      </c>
      <c r="S89" s="42">
        <f>'Line - 1'!S89+'Line - 2'!S89</f>
        <v>0</v>
      </c>
      <c r="T89" s="42">
        <f>'Line - 1'!T89+'Line - 2'!T89</f>
        <v>0</v>
      </c>
      <c r="U89" s="42">
        <f>'Line - 1'!U89+'Line - 2'!U89</f>
        <v>0</v>
      </c>
      <c r="V89" s="42">
        <f>'Line - 1'!V89+'Line - 2'!V89</f>
        <v>0</v>
      </c>
      <c r="W89" s="42">
        <f>'Line - 1'!W89+'Line - 2'!W89</f>
        <v>0</v>
      </c>
      <c r="X89" s="42">
        <f>'Line - 1'!X89+'Line - 2'!X89</f>
        <v>0</v>
      </c>
      <c r="Y89" s="42">
        <f>'Line - 1'!Y89+'Line - 2'!Y89</f>
        <v>0</v>
      </c>
      <c r="Z89" s="42">
        <f>'Line - 1'!Z89+'Line - 2'!Z89</f>
        <v>0</v>
      </c>
      <c r="AA89" s="42">
        <f>'Line - 1'!AA89+'Line - 2'!AA89</f>
        <v>0</v>
      </c>
      <c r="AB89" s="42">
        <f>'Line - 1'!AB89+'Line - 2'!AB89</f>
        <v>0</v>
      </c>
      <c r="AC89" s="42">
        <f>'Line - 1'!AC89+'Line - 2'!AC89</f>
        <v>0</v>
      </c>
      <c r="AD89" s="42">
        <f>'Line - 1'!AD89+'Line - 2'!AD89</f>
        <v>0</v>
      </c>
      <c r="AE89" s="42">
        <f>'Line - 1'!AE89+'Line - 2'!AE89</f>
        <v>0</v>
      </c>
      <c r="AF89" s="42">
        <f>'Line - 1'!AF89+'Line - 2'!AF89</f>
        <v>0</v>
      </c>
      <c r="AG89" s="30">
        <f t="shared" si="36"/>
        <v>1</v>
      </c>
    </row>
    <row r="90" spans="2:33" ht="15" customHeight="1">
      <c r="B90" s="21" t="s">
        <v>20</v>
      </c>
      <c r="C90" s="42">
        <f>'Line - 1'!C90+'Line - 2'!C90</f>
        <v>0</v>
      </c>
      <c r="D90" s="42">
        <f>'Line - 1'!D90+'Line - 2'!D90</f>
        <v>0</v>
      </c>
      <c r="E90" s="42">
        <f>'Line - 1'!E90+'Line - 2'!E90</f>
        <v>0</v>
      </c>
      <c r="F90" s="42">
        <f>'Line - 1'!F90+'Line - 2'!F90</f>
        <v>0</v>
      </c>
      <c r="G90" s="42">
        <f>'Line - 1'!G90+'Line - 2'!G90</f>
        <v>0</v>
      </c>
      <c r="H90" s="42">
        <f>'Line - 1'!H90+'Line - 2'!H90</f>
        <v>0</v>
      </c>
      <c r="I90" s="42">
        <f>'Line - 1'!I90+'Line - 2'!I90</f>
        <v>1</v>
      </c>
      <c r="J90" s="42">
        <f>'Line - 1'!J90+'Line - 2'!J90</f>
        <v>0</v>
      </c>
      <c r="K90" s="42">
        <f>'Line - 1'!K90+'Line - 2'!K90</f>
        <v>0</v>
      </c>
      <c r="L90" s="42">
        <f>'Line - 1'!L90+'Line - 2'!L90</f>
        <v>0</v>
      </c>
      <c r="M90" s="42">
        <f>'Line - 1'!M90+'Line - 2'!M90</f>
        <v>0</v>
      </c>
      <c r="N90" s="42">
        <f>'Line - 1'!N90+'Line - 2'!N90</f>
        <v>0</v>
      </c>
      <c r="O90" s="42">
        <f>'Line - 1'!O90+'Line - 2'!O90</f>
        <v>0</v>
      </c>
      <c r="P90" s="42">
        <f>'Line - 1'!P90+'Line - 2'!P90</f>
        <v>0</v>
      </c>
      <c r="Q90" s="42">
        <f>'Line - 1'!Q90+'Line - 2'!Q90</f>
        <v>0</v>
      </c>
      <c r="R90" s="42">
        <f>'Line - 1'!R90+'Line - 2'!R90</f>
        <v>0</v>
      </c>
      <c r="S90" s="42">
        <f>'Line - 1'!S90+'Line - 2'!S90</f>
        <v>0</v>
      </c>
      <c r="T90" s="42">
        <f>'Line - 1'!T90+'Line - 2'!T90</f>
        <v>0</v>
      </c>
      <c r="U90" s="42">
        <f>'Line - 1'!U90+'Line - 2'!U90</f>
        <v>0</v>
      </c>
      <c r="V90" s="42">
        <f>'Line - 1'!V90+'Line - 2'!V90</f>
        <v>0</v>
      </c>
      <c r="W90" s="42">
        <f>'Line - 1'!W90+'Line - 2'!W90</f>
        <v>0</v>
      </c>
      <c r="X90" s="42">
        <f>'Line - 1'!X90+'Line - 2'!X90</f>
        <v>0</v>
      </c>
      <c r="Y90" s="42">
        <f>'Line - 1'!Y90+'Line - 2'!Y90</f>
        <v>0</v>
      </c>
      <c r="Z90" s="42">
        <f>'Line - 1'!Z90+'Line - 2'!Z90</f>
        <v>0</v>
      </c>
      <c r="AA90" s="42">
        <f>'Line - 1'!AA90+'Line - 2'!AA90</f>
        <v>0</v>
      </c>
      <c r="AB90" s="42">
        <f>'Line - 1'!AB90+'Line - 2'!AB90</f>
        <v>0</v>
      </c>
      <c r="AC90" s="42">
        <f>'Line - 1'!AC90+'Line - 2'!AC90</f>
        <v>0</v>
      </c>
      <c r="AD90" s="42">
        <f>'Line - 1'!AD90+'Line - 2'!AD90</f>
        <v>0</v>
      </c>
      <c r="AE90" s="42">
        <f>'Line - 1'!AE90+'Line - 2'!AE90</f>
        <v>0</v>
      </c>
      <c r="AF90" s="42">
        <f>'Line - 1'!AF90+'Line - 2'!AF90</f>
        <v>0</v>
      </c>
      <c r="AG90" s="30">
        <f t="shared" si="36"/>
        <v>1</v>
      </c>
    </row>
    <row r="91" spans="2:33" ht="15" customHeight="1">
      <c r="B91" s="21" t="s">
        <v>53</v>
      </c>
      <c r="C91" s="42">
        <f>'Line - 1'!C91+'Line - 2'!C91</f>
        <v>0</v>
      </c>
      <c r="D91" s="42">
        <f>'Line - 1'!D91+'Line - 2'!D91</f>
        <v>0</v>
      </c>
      <c r="E91" s="42">
        <f>'Line - 1'!E91+'Line - 2'!E91</f>
        <v>0</v>
      </c>
      <c r="F91" s="42">
        <f>'Line - 1'!F91+'Line - 2'!F91</f>
        <v>0</v>
      </c>
      <c r="G91" s="42">
        <f>'Line - 1'!G91+'Line - 2'!G91</f>
        <v>0</v>
      </c>
      <c r="H91" s="42">
        <f>'Line - 1'!H91+'Line - 2'!H91</f>
        <v>0</v>
      </c>
      <c r="I91" s="42">
        <f>'Line - 1'!I91+'Line - 2'!I91</f>
        <v>0</v>
      </c>
      <c r="J91" s="42">
        <f>'Line - 1'!J91+'Line - 2'!J91</f>
        <v>0</v>
      </c>
      <c r="K91" s="42">
        <f>'Line - 1'!K91+'Line - 2'!K91</f>
        <v>0</v>
      </c>
      <c r="L91" s="42">
        <f>'Line - 1'!L91+'Line - 2'!L91</f>
        <v>0</v>
      </c>
      <c r="M91" s="42">
        <f>'Line - 1'!M91+'Line - 2'!M91</f>
        <v>0</v>
      </c>
      <c r="N91" s="42">
        <f>'Line - 1'!N91+'Line - 2'!N91</f>
        <v>0</v>
      </c>
      <c r="O91" s="42">
        <f>'Line - 1'!O91+'Line - 2'!O91</f>
        <v>0</v>
      </c>
      <c r="P91" s="42">
        <f>'Line - 1'!P91+'Line - 2'!P91</f>
        <v>0</v>
      </c>
      <c r="Q91" s="42">
        <f>'Line - 1'!Q91+'Line - 2'!Q91</f>
        <v>0</v>
      </c>
      <c r="R91" s="42">
        <f>'Line - 1'!R91+'Line - 2'!R91</f>
        <v>0</v>
      </c>
      <c r="S91" s="42">
        <f>'Line - 1'!S91+'Line - 2'!S91</f>
        <v>0</v>
      </c>
      <c r="T91" s="42">
        <f>'Line - 1'!T91+'Line - 2'!T91</f>
        <v>0</v>
      </c>
      <c r="U91" s="42">
        <f>'Line - 1'!U91+'Line - 2'!U91</f>
        <v>0</v>
      </c>
      <c r="V91" s="42">
        <f>'Line - 1'!V91+'Line - 2'!V91</f>
        <v>0</v>
      </c>
      <c r="W91" s="42">
        <f>'Line - 1'!W91+'Line - 2'!W91</f>
        <v>0</v>
      </c>
      <c r="X91" s="42">
        <f>'Line - 1'!X91+'Line - 2'!X91</f>
        <v>0</v>
      </c>
      <c r="Y91" s="42">
        <f>'Line - 1'!Y91+'Line - 2'!Y91</f>
        <v>0</v>
      </c>
      <c r="Z91" s="42">
        <f>'Line - 1'!Z91+'Line - 2'!Z91</f>
        <v>0</v>
      </c>
      <c r="AA91" s="42">
        <f>'Line - 1'!AA91+'Line - 2'!AA91</f>
        <v>0</v>
      </c>
      <c r="AB91" s="42">
        <f>'Line - 1'!AB91+'Line - 2'!AB91</f>
        <v>0</v>
      </c>
      <c r="AC91" s="42">
        <f>'Line - 1'!AC91+'Line - 2'!AC91</f>
        <v>0</v>
      </c>
      <c r="AD91" s="42">
        <f>'Line - 1'!AD91+'Line - 2'!AD91</f>
        <v>0</v>
      </c>
      <c r="AE91" s="42">
        <f>'Line - 1'!AE91+'Line - 2'!AE91</f>
        <v>0</v>
      </c>
      <c r="AF91" s="42">
        <f>'Line - 1'!AF91+'Line - 2'!AF91</f>
        <v>0</v>
      </c>
      <c r="AG91" s="30">
        <f t="shared" si="36"/>
        <v>0</v>
      </c>
    </row>
    <row r="92" spans="2:33" ht="15" customHeight="1">
      <c r="B92" s="21" t="s">
        <v>11</v>
      </c>
      <c r="C92" s="42">
        <f>'Line - 1'!C92+'Line - 2'!C92</f>
        <v>0</v>
      </c>
      <c r="D92" s="42">
        <f>'Line - 1'!D92+'Line - 2'!D92</f>
        <v>0</v>
      </c>
      <c r="E92" s="42">
        <f>'Line - 1'!E92+'Line - 2'!E92</f>
        <v>0</v>
      </c>
      <c r="F92" s="42">
        <f>'Line - 1'!F92+'Line - 2'!F92</f>
        <v>1</v>
      </c>
      <c r="G92" s="42">
        <f>'Line - 1'!G92+'Line - 2'!G92</f>
        <v>0</v>
      </c>
      <c r="H92" s="42">
        <f>'Line - 1'!H92+'Line - 2'!H92</f>
        <v>0</v>
      </c>
      <c r="I92" s="42">
        <f>'Line - 1'!I92+'Line - 2'!I92</f>
        <v>0</v>
      </c>
      <c r="J92" s="42">
        <f>'Line - 1'!J92+'Line - 2'!J92</f>
        <v>0</v>
      </c>
      <c r="K92" s="42">
        <f>'Line - 1'!K92+'Line - 2'!K92</f>
        <v>0</v>
      </c>
      <c r="L92" s="42">
        <f>'Line - 1'!L92+'Line - 2'!L92</f>
        <v>0</v>
      </c>
      <c r="M92" s="42">
        <f>'Line - 1'!M92+'Line - 2'!M92</f>
        <v>0</v>
      </c>
      <c r="N92" s="42">
        <f>'Line - 1'!N92+'Line - 2'!N92</f>
        <v>0</v>
      </c>
      <c r="O92" s="42">
        <f>'Line - 1'!O92+'Line - 2'!O92</f>
        <v>0</v>
      </c>
      <c r="P92" s="42">
        <f>'Line - 1'!P92+'Line - 2'!P92</f>
        <v>0</v>
      </c>
      <c r="Q92" s="42">
        <f>'Line - 1'!Q92+'Line - 2'!Q92</f>
        <v>0</v>
      </c>
      <c r="R92" s="42">
        <f>'Line - 1'!R92+'Line - 2'!R92</f>
        <v>0</v>
      </c>
      <c r="S92" s="42">
        <f>'Line - 1'!S92+'Line - 2'!S92</f>
        <v>0</v>
      </c>
      <c r="T92" s="42">
        <f>'Line - 1'!T92+'Line - 2'!T92</f>
        <v>0</v>
      </c>
      <c r="U92" s="42">
        <f>'Line - 1'!U92+'Line - 2'!U92</f>
        <v>0</v>
      </c>
      <c r="V92" s="42">
        <f>'Line - 1'!V92+'Line - 2'!V92</f>
        <v>0</v>
      </c>
      <c r="W92" s="42">
        <f>'Line - 1'!W92+'Line - 2'!W92</f>
        <v>0</v>
      </c>
      <c r="X92" s="42">
        <f>'Line - 1'!X92+'Line - 2'!X92</f>
        <v>0</v>
      </c>
      <c r="Y92" s="42">
        <f>'Line - 1'!Y92+'Line - 2'!Y92</f>
        <v>0</v>
      </c>
      <c r="Z92" s="42">
        <f>'Line - 1'!Z92+'Line - 2'!Z92</f>
        <v>0</v>
      </c>
      <c r="AA92" s="42">
        <f>'Line - 1'!AA92+'Line - 2'!AA92</f>
        <v>0</v>
      </c>
      <c r="AB92" s="42">
        <f>'Line - 1'!AB92+'Line - 2'!AB92</f>
        <v>0</v>
      </c>
      <c r="AC92" s="42">
        <f>'Line - 1'!AC92+'Line - 2'!AC92</f>
        <v>0</v>
      </c>
      <c r="AD92" s="42">
        <f>'Line - 1'!AD92+'Line - 2'!AD92</f>
        <v>0</v>
      </c>
      <c r="AE92" s="42">
        <f>'Line - 1'!AE92+'Line - 2'!AE92</f>
        <v>0</v>
      </c>
      <c r="AF92" s="42">
        <f>'Line - 1'!AF92+'Line - 2'!AF92</f>
        <v>0</v>
      </c>
      <c r="AG92" s="30">
        <f t="shared" si="36"/>
        <v>1</v>
      </c>
    </row>
    <row r="93" spans="2:33" ht="15" customHeight="1">
      <c r="B93" s="21" t="s">
        <v>54</v>
      </c>
      <c r="C93" s="42">
        <f>'Line - 1'!C93+'Line - 2'!C93</f>
        <v>0</v>
      </c>
      <c r="D93" s="42">
        <f>'Line - 1'!D93+'Line - 2'!D93</f>
        <v>0</v>
      </c>
      <c r="E93" s="42">
        <f>'Line - 1'!E93+'Line - 2'!E93</f>
        <v>0</v>
      </c>
      <c r="F93" s="42">
        <f>'Line - 1'!F93+'Line - 2'!F93</f>
        <v>0</v>
      </c>
      <c r="G93" s="42">
        <f>'Line - 1'!G93+'Line - 2'!G93</f>
        <v>0</v>
      </c>
      <c r="H93" s="42">
        <f>'Line - 1'!H93+'Line - 2'!H93</f>
        <v>1</v>
      </c>
      <c r="I93" s="42">
        <f>'Line - 1'!I93+'Line - 2'!I93</f>
        <v>1</v>
      </c>
      <c r="J93" s="42">
        <f>'Line - 1'!J93+'Line - 2'!J93</f>
        <v>0</v>
      </c>
      <c r="K93" s="42">
        <f>'Line - 1'!K93+'Line - 2'!K93</f>
        <v>0</v>
      </c>
      <c r="L93" s="42">
        <f>'Line - 1'!L93+'Line - 2'!L93</f>
        <v>0</v>
      </c>
      <c r="M93" s="42">
        <f>'Line - 1'!M93+'Line - 2'!M93</f>
        <v>0</v>
      </c>
      <c r="N93" s="42">
        <f>'Line - 1'!N93+'Line - 2'!N93</f>
        <v>0</v>
      </c>
      <c r="O93" s="42">
        <f>'Line - 1'!O93+'Line - 2'!O93</f>
        <v>0</v>
      </c>
      <c r="P93" s="42">
        <f>'Line - 1'!P93+'Line - 2'!P93</f>
        <v>0</v>
      </c>
      <c r="Q93" s="42">
        <f>'Line - 1'!Q93+'Line - 2'!Q93</f>
        <v>0</v>
      </c>
      <c r="R93" s="42">
        <f>'Line - 1'!R93+'Line - 2'!R93</f>
        <v>0</v>
      </c>
      <c r="S93" s="42">
        <f>'Line - 1'!S93+'Line - 2'!S93</f>
        <v>0</v>
      </c>
      <c r="T93" s="42">
        <f>'Line - 1'!T93+'Line - 2'!T93</f>
        <v>0</v>
      </c>
      <c r="U93" s="42">
        <f>'Line - 1'!U93+'Line - 2'!U93</f>
        <v>0</v>
      </c>
      <c r="V93" s="42">
        <f>'Line - 1'!V93+'Line - 2'!V93</f>
        <v>0</v>
      </c>
      <c r="W93" s="42">
        <f>'Line - 1'!W93+'Line - 2'!W93</f>
        <v>0</v>
      </c>
      <c r="X93" s="42">
        <f>'Line - 1'!X93+'Line - 2'!X93</f>
        <v>0</v>
      </c>
      <c r="Y93" s="42">
        <f>'Line - 1'!Y93+'Line - 2'!Y93</f>
        <v>0</v>
      </c>
      <c r="Z93" s="42">
        <f>'Line - 1'!Z93+'Line - 2'!Z93</f>
        <v>0</v>
      </c>
      <c r="AA93" s="42">
        <f>'Line - 1'!AA93+'Line - 2'!AA93</f>
        <v>0</v>
      </c>
      <c r="AB93" s="42">
        <f>'Line - 1'!AB93+'Line - 2'!AB93</f>
        <v>0</v>
      </c>
      <c r="AC93" s="42">
        <f>'Line - 1'!AC93+'Line - 2'!AC93</f>
        <v>0</v>
      </c>
      <c r="AD93" s="42">
        <f>'Line - 1'!AD93+'Line - 2'!AD93</f>
        <v>0</v>
      </c>
      <c r="AE93" s="42">
        <f>'Line - 1'!AE93+'Line - 2'!AE93</f>
        <v>0</v>
      </c>
      <c r="AF93" s="42">
        <f>'Line - 1'!AF93+'Line - 2'!AF93</f>
        <v>0</v>
      </c>
      <c r="AG93" s="30">
        <f t="shared" si="36"/>
        <v>2</v>
      </c>
    </row>
    <row r="94" spans="2:33" ht="15" customHeight="1">
      <c r="B94" s="21" t="s">
        <v>55</v>
      </c>
      <c r="C94" s="42">
        <f>'Line - 1'!C94+'Line - 2'!C94</f>
        <v>0</v>
      </c>
      <c r="D94" s="42">
        <f>'Line - 1'!D94+'Line - 2'!D94</f>
        <v>0</v>
      </c>
      <c r="E94" s="42">
        <f>'Line - 1'!E94+'Line - 2'!E94</f>
        <v>0</v>
      </c>
      <c r="F94" s="42">
        <f>'Line - 1'!F94+'Line - 2'!F94</f>
        <v>0</v>
      </c>
      <c r="G94" s="42">
        <f>'Line - 1'!G94+'Line - 2'!G94</f>
        <v>0</v>
      </c>
      <c r="H94" s="42">
        <f>'Line - 1'!H94+'Line - 2'!H94</f>
        <v>0</v>
      </c>
      <c r="I94" s="42">
        <f>'Line - 1'!I94+'Line - 2'!I94</f>
        <v>0</v>
      </c>
      <c r="J94" s="42">
        <f>'Line - 1'!J94+'Line - 2'!J94</f>
        <v>0</v>
      </c>
      <c r="K94" s="42">
        <f>'Line - 1'!K94+'Line - 2'!K94</f>
        <v>0</v>
      </c>
      <c r="L94" s="42">
        <f>'Line - 1'!L94+'Line - 2'!L94</f>
        <v>0</v>
      </c>
      <c r="M94" s="42">
        <f>'Line - 1'!M94+'Line - 2'!M94</f>
        <v>0</v>
      </c>
      <c r="N94" s="42">
        <f>'Line - 1'!N94+'Line - 2'!N94</f>
        <v>0</v>
      </c>
      <c r="O94" s="42">
        <f>'Line - 1'!O94+'Line - 2'!O94</f>
        <v>0</v>
      </c>
      <c r="P94" s="42">
        <f>'Line - 1'!P94+'Line - 2'!P94</f>
        <v>0</v>
      </c>
      <c r="Q94" s="42">
        <f>'Line - 1'!Q94+'Line - 2'!Q94</f>
        <v>0</v>
      </c>
      <c r="R94" s="42">
        <f>'Line - 1'!R94+'Line - 2'!R94</f>
        <v>0</v>
      </c>
      <c r="S94" s="42">
        <f>'Line - 1'!S94+'Line - 2'!S94</f>
        <v>0</v>
      </c>
      <c r="T94" s="42">
        <f>'Line - 1'!T94+'Line - 2'!T94</f>
        <v>0</v>
      </c>
      <c r="U94" s="42">
        <f>'Line - 1'!U94+'Line - 2'!U94</f>
        <v>0</v>
      </c>
      <c r="V94" s="42">
        <f>'Line - 1'!V94+'Line - 2'!V94</f>
        <v>0</v>
      </c>
      <c r="W94" s="42">
        <f>'Line - 1'!W94+'Line - 2'!W94</f>
        <v>0</v>
      </c>
      <c r="X94" s="42">
        <f>'Line - 1'!X94+'Line - 2'!X94</f>
        <v>0</v>
      </c>
      <c r="Y94" s="42">
        <f>'Line - 1'!Y94+'Line - 2'!Y94</f>
        <v>0</v>
      </c>
      <c r="Z94" s="42">
        <f>'Line - 1'!Z94+'Line - 2'!Z94</f>
        <v>0</v>
      </c>
      <c r="AA94" s="42">
        <f>'Line - 1'!AA94+'Line - 2'!AA94</f>
        <v>0</v>
      </c>
      <c r="AB94" s="42">
        <f>'Line - 1'!AB94+'Line - 2'!AB94</f>
        <v>0</v>
      </c>
      <c r="AC94" s="42">
        <f>'Line - 1'!AC94+'Line - 2'!AC94</f>
        <v>0</v>
      </c>
      <c r="AD94" s="42">
        <f>'Line - 1'!AD94+'Line - 2'!AD94</f>
        <v>0</v>
      </c>
      <c r="AE94" s="42">
        <f>'Line - 1'!AE94+'Line - 2'!AE94</f>
        <v>0</v>
      </c>
      <c r="AF94" s="42">
        <f>'Line - 1'!AF94+'Line - 2'!AF94</f>
        <v>0</v>
      </c>
      <c r="AG94" s="30">
        <f t="shared" si="36"/>
        <v>0</v>
      </c>
    </row>
    <row r="95" spans="2:33" ht="15" customHeight="1">
      <c r="B95" s="21" t="s">
        <v>16</v>
      </c>
      <c r="C95" s="42">
        <f>'Line - 1'!C95+'Line - 2'!C95</f>
        <v>2</v>
      </c>
      <c r="D95" s="42">
        <f>'Line - 1'!D95+'Line - 2'!D95</f>
        <v>2</v>
      </c>
      <c r="E95" s="42">
        <f>'Line - 1'!E95+'Line - 2'!E95</f>
        <v>0</v>
      </c>
      <c r="F95" s="42">
        <f>'Line - 1'!F95+'Line - 2'!F95</f>
        <v>2</v>
      </c>
      <c r="G95" s="42">
        <f>'Line - 1'!G95+'Line - 2'!G95</f>
        <v>0</v>
      </c>
      <c r="H95" s="42">
        <f>'Line - 1'!H95+'Line - 2'!H95</f>
        <v>0</v>
      </c>
      <c r="I95" s="42">
        <f>'Line - 1'!I95+'Line - 2'!I95</f>
        <v>0</v>
      </c>
      <c r="J95" s="42">
        <f>'Line - 1'!J95+'Line - 2'!J95</f>
        <v>0</v>
      </c>
      <c r="K95" s="42">
        <f>'Line - 1'!K95+'Line - 2'!K95</f>
        <v>0</v>
      </c>
      <c r="L95" s="42">
        <f>'Line - 1'!L95+'Line - 2'!L95</f>
        <v>2</v>
      </c>
      <c r="M95" s="42">
        <f>'Line - 1'!M95+'Line - 2'!M95</f>
        <v>1</v>
      </c>
      <c r="N95" s="42">
        <f>'Line - 1'!N95+'Line - 2'!N95</f>
        <v>0</v>
      </c>
      <c r="O95" s="42">
        <f>'Line - 1'!O95+'Line - 2'!O95</f>
        <v>1</v>
      </c>
      <c r="P95" s="42">
        <f>'Line - 1'!P95+'Line - 2'!P95</f>
        <v>0</v>
      </c>
      <c r="Q95" s="42">
        <f>'Line - 1'!Q95+'Line - 2'!Q95</f>
        <v>0</v>
      </c>
      <c r="R95" s="42">
        <f>'Line - 1'!R95+'Line - 2'!R95</f>
        <v>3</v>
      </c>
      <c r="S95" s="42">
        <f>'Line - 1'!S95+'Line - 2'!S95</f>
        <v>0</v>
      </c>
      <c r="T95" s="42">
        <f>'Line - 1'!T95+'Line - 2'!T95</f>
        <v>0</v>
      </c>
      <c r="U95" s="42">
        <f>'Line - 1'!U95+'Line - 2'!U95</f>
        <v>0</v>
      </c>
      <c r="V95" s="42">
        <f>'Line - 1'!V95+'Line - 2'!V95</f>
        <v>3</v>
      </c>
      <c r="W95" s="42">
        <f>'Line - 1'!W95+'Line - 2'!W95</f>
        <v>0</v>
      </c>
      <c r="X95" s="42">
        <f>'Line - 1'!X95+'Line - 2'!X95</f>
        <v>1</v>
      </c>
      <c r="Y95" s="42">
        <f>'Line - 1'!Y95+'Line - 2'!Y95</f>
        <v>0</v>
      </c>
      <c r="Z95" s="42">
        <f>'Line - 1'!Z95+'Line - 2'!Z95</f>
        <v>0</v>
      </c>
      <c r="AA95" s="42">
        <f>'Line - 1'!AA95+'Line - 2'!AA95</f>
        <v>0</v>
      </c>
      <c r="AB95" s="42">
        <f>'Line - 1'!AB95+'Line - 2'!AB95</f>
        <v>0</v>
      </c>
      <c r="AC95" s="42">
        <f>'Line - 1'!AC95+'Line - 2'!AC95</f>
        <v>0</v>
      </c>
      <c r="AD95" s="42">
        <f>'Line - 1'!AD95+'Line - 2'!AD95</f>
        <v>0</v>
      </c>
      <c r="AE95" s="42">
        <f>'Line - 1'!AE95+'Line - 2'!AE95</f>
        <v>0</v>
      </c>
      <c r="AF95" s="42">
        <f>'Line - 1'!AF95+'Line - 2'!AF95</f>
        <v>0</v>
      </c>
      <c r="AG95" s="30">
        <f t="shared" si="36"/>
        <v>17</v>
      </c>
    </row>
    <row r="96" spans="2:33" ht="15" customHeight="1">
      <c r="B96" s="21" t="s">
        <v>56</v>
      </c>
      <c r="C96" s="42">
        <f>'Line - 1'!C96+'Line - 2'!C96</f>
        <v>0</v>
      </c>
      <c r="D96" s="42">
        <f>'Line - 1'!D96+'Line - 2'!D96</f>
        <v>0</v>
      </c>
      <c r="E96" s="42">
        <f>'Line - 1'!E96+'Line - 2'!E96</f>
        <v>0</v>
      </c>
      <c r="F96" s="42">
        <f>'Line - 1'!F96+'Line - 2'!F96</f>
        <v>0</v>
      </c>
      <c r="G96" s="42">
        <f>'Line - 1'!G96+'Line - 2'!G96</f>
        <v>0</v>
      </c>
      <c r="H96" s="42">
        <f>'Line - 1'!H96+'Line - 2'!H96</f>
        <v>0</v>
      </c>
      <c r="I96" s="42">
        <f>'Line - 1'!I96+'Line - 2'!I96</f>
        <v>0</v>
      </c>
      <c r="J96" s="42">
        <f>'Line - 1'!J96+'Line - 2'!J96</f>
        <v>0</v>
      </c>
      <c r="K96" s="42">
        <f>'Line - 1'!K96+'Line - 2'!K96</f>
        <v>0</v>
      </c>
      <c r="L96" s="42">
        <f>'Line - 1'!L96+'Line - 2'!L96</f>
        <v>0</v>
      </c>
      <c r="M96" s="42">
        <f>'Line - 1'!M96+'Line - 2'!M96</f>
        <v>0</v>
      </c>
      <c r="N96" s="42">
        <f>'Line - 1'!N96+'Line - 2'!N96</f>
        <v>0</v>
      </c>
      <c r="O96" s="42">
        <f>'Line - 1'!O96+'Line - 2'!O96</f>
        <v>0</v>
      </c>
      <c r="P96" s="42">
        <f>'Line - 1'!P96+'Line - 2'!P96</f>
        <v>0</v>
      </c>
      <c r="Q96" s="42">
        <f>'Line - 1'!Q96+'Line - 2'!Q96</f>
        <v>0</v>
      </c>
      <c r="R96" s="42">
        <f>'Line - 1'!R96+'Line - 2'!R96</f>
        <v>0</v>
      </c>
      <c r="S96" s="42">
        <f>'Line - 1'!S96+'Line - 2'!S96</f>
        <v>0</v>
      </c>
      <c r="T96" s="42">
        <f>'Line - 1'!T96+'Line - 2'!T96</f>
        <v>0</v>
      </c>
      <c r="U96" s="42">
        <f>'Line - 1'!U96+'Line - 2'!U96</f>
        <v>0</v>
      </c>
      <c r="V96" s="42">
        <f>'Line - 1'!V96+'Line - 2'!V96</f>
        <v>0</v>
      </c>
      <c r="W96" s="42">
        <f>'Line - 1'!W96+'Line - 2'!W96</f>
        <v>0</v>
      </c>
      <c r="X96" s="42">
        <f>'Line - 1'!X96+'Line - 2'!X96</f>
        <v>0</v>
      </c>
      <c r="Y96" s="42">
        <f>'Line - 1'!Y96+'Line - 2'!Y96</f>
        <v>0</v>
      </c>
      <c r="Z96" s="42">
        <f>'Line - 1'!Z96+'Line - 2'!Z96</f>
        <v>0</v>
      </c>
      <c r="AA96" s="42">
        <f>'Line - 1'!AA96+'Line - 2'!AA96</f>
        <v>0</v>
      </c>
      <c r="AB96" s="42">
        <f>'Line - 1'!AB96+'Line - 2'!AB96</f>
        <v>0</v>
      </c>
      <c r="AC96" s="42">
        <f>'Line - 1'!AC96+'Line - 2'!AC96</f>
        <v>0</v>
      </c>
      <c r="AD96" s="42">
        <f>'Line - 1'!AD96+'Line - 2'!AD96</f>
        <v>0</v>
      </c>
      <c r="AE96" s="42">
        <f>'Line - 1'!AE96+'Line - 2'!AE96</f>
        <v>0</v>
      </c>
      <c r="AF96" s="42">
        <f>'Line - 1'!AF96+'Line - 2'!AF96</f>
        <v>0</v>
      </c>
      <c r="AG96" s="30">
        <f t="shared" si="36"/>
        <v>0</v>
      </c>
    </row>
    <row r="97" spans="2:33" ht="15" customHeight="1">
      <c r="B97" s="21" t="s">
        <v>25</v>
      </c>
      <c r="C97" s="42">
        <f>'Line - 1'!C97+'Line - 2'!C97</f>
        <v>0</v>
      </c>
      <c r="D97" s="42">
        <f>'Line - 1'!D97+'Line - 2'!D97</f>
        <v>0</v>
      </c>
      <c r="E97" s="42">
        <f>'Line - 1'!E97+'Line - 2'!E97</f>
        <v>0</v>
      </c>
      <c r="F97" s="42">
        <f>'Line - 1'!F97+'Line - 2'!F97</f>
        <v>0</v>
      </c>
      <c r="G97" s="42">
        <f>'Line - 1'!G97+'Line - 2'!G97</f>
        <v>0</v>
      </c>
      <c r="H97" s="42">
        <f>'Line - 1'!H97+'Line - 2'!H97</f>
        <v>2</v>
      </c>
      <c r="I97" s="42">
        <f>'Line - 1'!I97+'Line - 2'!I97</f>
        <v>0</v>
      </c>
      <c r="J97" s="42">
        <f>'Line - 1'!J97+'Line - 2'!J97</f>
        <v>0</v>
      </c>
      <c r="K97" s="42">
        <f>'Line - 1'!K97+'Line - 2'!K97</f>
        <v>0</v>
      </c>
      <c r="L97" s="42">
        <f>'Line - 1'!L97+'Line - 2'!L97</f>
        <v>0</v>
      </c>
      <c r="M97" s="42">
        <f>'Line - 1'!M97+'Line - 2'!M97</f>
        <v>0</v>
      </c>
      <c r="N97" s="42">
        <f>'Line - 1'!N97+'Line - 2'!N97</f>
        <v>0</v>
      </c>
      <c r="O97" s="42">
        <f>'Line - 1'!O97+'Line - 2'!O97</f>
        <v>0</v>
      </c>
      <c r="P97" s="42">
        <f>'Line - 1'!P97+'Line - 2'!P97</f>
        <v>0</v>
      </c>
      <c r="Q97" s="42">
        <f>'Line - 1'!Q97+'Line - 2'!Q97</f>
        <v>0</v>
      </c>
      <c r="R97" s="42">
        <f>'Line - 1'!R97+'Line - 2'!R97</f>
        <v>0</v>
      </c>
      <c r="S97" s="42">
        <f>'Line - 1'!S97+'Line - 2'!S97</f>
        <v>0</v>
      </c>
      <c r="T97" s="42">
        <f>'Line - 1'!T97+'Line - 2'!T97</f>
        <v>0</v>
      </c>
      <c r="U97" s="42">
        <f>'Line - 1'!U97+'Line - 2'!U97</f>
        <v>0</v>
      </c>
      <c r="V97" s="42">
        <f>'Line - 1'!V97+'Line - 2'!V97</f>
        <v>0</v>
      </c>
      <c r="W97" s="42">
        <f>'Line - 1'!W97+'Line - 2'!W97</f>
        <v>0</v>
      </c>
      <c r="X97" s="42">
        <f>'Line - 1'!X97+'Line - 2'!X97</f>
        <v>0</v>
      </c>
      <c r="Y97" s="42">
        <f>'Line - 1'!Y97+'Line - 2'!Y97</f>
        <v>0</v>
      </c>
      <c r="Z97" s="42">
        <f>'Line - 1'!Z97+'Line - 2'!Z97</f>
        <v>0</v>
      </c>
      <c r="AA97" s="42">
        <f>'Line - 1'!AA97+'Line - 2'!AA97</f>
        <v>0</v>
      </c>
      <c r="AB97" s="42">
        <f>'Line - 1'!AB97+'Line - 2'!AB97</f>
        <v>0</v>
      </c>
      <c r="AC97" s="42">
        <f>'Line - 1'!AC97+'Line - 2'!AC97</f>
        <v>0</v>
      </c>
      <c r="AD97" s="42">
        <f>'Line - 1'!AD97+'Line - 2'!AD97</f>
        <v>0</v>
      </c>
      <c r="AE97" s="42">
        <f>'Line - 1'!AE97+'Line - 2'!AE97</f>
        <v>0</v>
      </c>
      <c r="AF97" s="42">
        <f>'Line - 1'!AF97+'Line - 2'!AF97</f>
        <v>0</v>
      </c>
      <c r="AG97" s="30">
        <f t="shared" si="36"/>
        <v>2</v>
      </c>
    </row>
    <row r="98" spans="2:33" ht="15" customHeight="1">
      <c r="B98" s="21" t="s">
        <v>44</v>
      </c>
      <c r="C98" s="42">
        <f>'Line - 1'!C98+'Line - 2'!C98</f>
        <v>0</v>
      </c>
      <c r="D98" s="42">
        <f>'Line - 1'!D98+'Line - 2'!D98</f>
        <v>0</v>
      </c>
      <c r="E98" s="42">
        <f>'Line - 1'!E98+'Line - 2'!E98</f>
        <v>0</v>
      </c>
      <c r="F98" s="42">
        <f>'Line - 1'!F98+'Line - 2'!F98</f>
        <v>0</v>
      </c>
      <c r="G98" s="42">
        <f>'Line - 1'!G98+'Line - 2'!G98</f>
        <v>0</v>
      </c>
      <c r="H98" s="42">
        <f>'Line - 1'!H98+'Line - 2'!H98</f>
        <v>0</v>
      </c>
      <c r="I98" s="42">
        <f>'Line - 1'!I98+'Line - 2'!I98</f>
        <v>1</v>
      </c>
      <c r="J98" s="42">
        <f>'Line - 1'!J98+'Line - 2'!J98</f>
        <v>0</v>
      </c>
      <c r="K98" s="42">
        <f>'Line - 1'!K98+'Line - 2'!K98</f>
        <v>1</v>
      </c>
      <c r="L98" s="42">
        <f>'Line - 1'!L98+'Line - 2'!L98</f>
        <v>0</v>
      </c>
      <c r="M98" s="42">
        <f>'Line - 1'!M98+'Line - 2'!M98</f>
        <v>1</v>
      </c>
      <c r="N98" s="42">
        <f>'Line - 1'!N98+'Line - 2'!N98</f>
        <v>0</v>
      </c>
      <c r="O98" s="42">
        <f>'Line - 1'!O98+'Line - 2'!O98</f>
        <v>0</v>
      </c>
      <c r="P98" s="42">
        <f>'Line - 1'!P98+'Line - 2'!P98</f>
        <v>0</v>
      </c>
      <c r="Q98" s="42">
        <f>'Line - 1'!Q98+'Line - 2'!Q98</f>
        <v>0</v>
      </c>
      <c r="R98" s="42">
        <f>'Line - 1'!R98+'Line - 2'!R98</f>
        <v>0</v>
      </c>
      <c r="S98" s="42">
        <f>'Line - 1'!S98+'Line - 2'!S98</f>
        <v>0</v>
      </c>
      <c r="T98" s="42">
        <f>'Line - 1'!T98+'Line - 2'!T98</f>
        <v>0</v>
      </c>
      <c r="U98" s="42">
        <f>'Line - 1'!U98+'Line - 2'!U98</f>
        <v>0</v>
      </c>
      <c r="V98" s="42">
        <f>'Line - 1'!V98+'Line - 2'!V98</f>
        <v>0</v>
      </c>
      <c r="W98" s="42">
        <f>'Line - 1'!W98+'Line - 2'!W98</f>
        <v>0</v>
      </c>
      <c r="X98" s="42">
        <f>'Line - 1'!X98+'Line - 2'!X98</f>
        <v>0</v>
      </c>
      <c r="Y98" s="42">
        <f>'Line - 1'!Y98+'Line - 2'!Y98</f>
        <v>0</v>
      </c>
      <c r="Z98" s="42">
        <f>'Line - 1'!Z98+'Line - 2'!Z98</f>
        <v>0</v>
      </c>
      <c r="AA98" s="42">
        <f>'Line - 1'!AA98+'Line - 2'!AA98</f>
        <v>0</v>
      </c>
      <c r="AB98" s="42">
        <f>'Line - 1'!AB98+'Line - 2'!AB98</f>
        <v>0</v>
      </c>
      <c r="AC98" s="42">
        <f>'Line - 1'!AC98+'Line - 2'!AC98</f>
        <v>0</v>
      </c>
      <c r="AD98" s="42">
        <f>'Line - 1'!AD98+'Line - 2'!AD98</f>
        <v>0</v>
      </c>
      <c r="AE98" s="42">
        <f>'Line - 1'!AE98+'Line - 2'!AE98</f>
        <v>0</v>
      </c>
      <c r="AF98" s="42">
        <f>'Line - 1'!AF98+'Line - 2'!AF98</f>
        <v>0</v>
      </c>
      <c r="AG98" s="30">
        <f t="shared" si="36"/>
        <v>3</v>
      </c>
    </row>
    <row r="99" spans="2:33" ht="15" customHeight="1">
      <c r="B99" s="21" t="s">
        <v>23</v>
      </c>
      <c r="C99" s="42">
        <f>'Line - 1'!C99+'Line - 2'!C99</f>
        <v>1</v>
      </c>
      <c r="D99" s="42">
        <f>'Line - 1'!D99+'Line - 2'!D99</f>
        <v>0</v>
      </c>
      <c r="E99" s="42">
        <f>'Line - 1'!E99+'Line - 2'!E99</f>
        <v>0</v>
      </c>
      <c r="F99" s="42">
        <f>'Line - 1'!F99+'Line - 2'!F99</f>
        <v>0</v>
      </c>
      <c r="G99" s="42">
        <f>'Line - 1'!G99+'Line - 2'!G99</f>
        <v>0</v>
      </c>
      <c r="H99" s="42">
        <f>'Line - 1'!H99+'Line - 2'!H99</f>
        <v>0</v>
      </c>
      <c r="I99" s="42">
        <f>'Line - 1'!I99+'Line - 2'!I99</f>
        <v>1</v>
      </c>
      <c r="J99" s="42">
        <f>'Line - 1'!J99+'Line - 2'!J99</f>
        <v>0</v>
      </c>
      <c r="K99" s="42">
        <f>'Line - 1'!K99+'Line - 2'!K99</f>
        <v>1</v>
      </c>
      <c r="L99" s="42">
        <f>'Line - 1'!L99+'Line - 2'!L99</f>
        <v>0</v>
      </c>
      <c r="M99" s="42">
        <f>'Line - 1'!M99+'Line - 2'!M99</f>
        <v>1</v>
      </c>
      <c r="N99" s="42">
        <f>'Line - 1'!N99+'Line - 2'!N99</f>
        <v>0</v>
      </c>
      <c r="O99" s="42">
        <f>'Line - 1'!O99+'Line - 2'!O99</f>
        <v>0</v>
      </c>
      <c r="P99" s="42">
        <f>'Line - 1'!P99+'Line - 2'!P99</f>
        <v>1</v>
      </c>
      <c r="Q99" s="42">
        <f>'Line - 1'!Q99+'Line - 2'!Q99</f>
        <v>0</v>
      </c>
      <c r="R99" s="42">
        <f>'Line - 1'!R99+'Line - 2'!R99</f>
        <v>0</v>
      </c>
      <c r="S99" s="42">
        <f>'Line - 1'!S99+'Line - 2'!S99</f>
        <v>0</v>
      </c>
      <c r="T99" s="42">
        <f>'Line - 1'!T99+'Line - 2'!T99</f>
        <v>0</v>
      </c>
      <c r="U99" s="42">
        <f>'Line - 1'!U99+'Line - 2'!U99</f>
        <v>0</v>
      </c>
      <c r="V99" s="42">
        <f>'Line - 1'!V99+'Line - 2'!V99</f>
        <v>0</v>
      </c>
      <c r="W99" s="42">
        <f>'Line - 1'!W99+'Line - 2'!W99</f>
        <v>0</v>
      </c>
      <c r="X99" s="42">
        <f>'Line - 1'!X99+'Line - 2'!X99</f>
        <v>0</v>
      </c>
      <c r="Y99" s="42">
        <f>'Line - 1'!Y99+'Line - 2'!Y99</f>
        <v>0</v>
      </c>
      <c r="Z99" s="42">
        <f>'Line - 1'!Z99+'Line - 2'!Z99</f>
        <v>0</v>
      </c>
      <c r="AA99" s="42">
        <f>'Line - 1'!AA99+'Line - 2'!AA99</f>
        <v>0</v>
      </c>
      <c r="AB99" s="42">
        <f>'Line - 1'!AB99+'Line - 2'!AB99</f>
        <v>0</v>
      </c>
      <c r="AC99" s="42">
        <f>'Line - 1'!AC99+'Line - 2'!AC99</f>
        <v>0</v>
      </c>
      <c r="AD99" s="42">
        <f>'Line - 1'!AD99+'Line - 2'!AD99</f>
        <v>0</v>
      </c>
      <c r="AE99" s="42">
        <f>'Line - 1'!AE99+'Line - 2'!AE99</f>
        <v>0</v>
      </c>
      <c r="AF99" s="42">
        <f>'Line - 1'!AF99+'Line - 2'!AF99</f>
        <v>0</v>
      </c>
      <c r="AG99" s="30">
        <f t="shared" si="36"/>
        <v>5</v>
      </c>
    </row>
    <row r="100" spans="2:33" ht="15" customHeight="1">
      <c r="B100" s="21" t="s">
        <v>19</v>
      </c>
      <c r="C100" s="42">
        <f>'Line - 1'!C100+'Line - 2'!C100</f>
        <v>0</v>
      </c>
      <c r="D100" s="42">
        <f>'Line - 1'!D100+'Line - 2'!D100</f>
        <v>0</v>
      </c>
      <c r="E100" s="42">
        <f>'Line - 1'!E100+'Line - 2'!E100</f>
        <v>0</v>
      </c>
      <c r="F100" s="42">
        <f>'Line - 1'!F100+'Line - 2'!F100</f>
        <v>0</v>
      </c>
      <c r="G100" s="42">
        <f>'Line - 1'!G100+'Line - 2'!G100</f>
        <v>0</v>
      </c>
      <c r="H100" s="42">
        <f>'Line - 1'!H100+'Line - 2'!H100</f>
        <v>0</v>
      </c>
      <c r="I100" s="42">
        <f>'Line - 1'!I100+'Line - 2'!I100</f>
        <v>0</v>
      </c>
      <c r="J100" s="42">
        <f>'Line - 1'!J100+'Line - 2'!J100</f>
        <v>0</v>
      </c>
      <c r="K100" s="42">
        <f>'Line - 1'!K100+'Line - 2'!K100</f>
        <v>0</v>
      </c>
      <c r="L100" s="42">
        <f>'Line - 1'!L100+'Line - 2'!L100</f>
        <v>0</v>
      </c>
      <c r="M100" s="42">
        <f>'Line - 1'!M100+'Line - 2'!M100</f>
        <v>0</v>
      </c>
      <c r="N100" s="42">
        <f>'Line - 1'!N100+'Line - 2'!N100</f>
        <v>0</v>
      </c>
      <c r="O100" s="42">
        <f>'Line - 1'!O100+'Line - 2'!O100</f>
        <v>0</v>
      </c>
      <c r="P100" s="42">
        <f>'Line - 1'!P100+'Line - 2'!P100</f>
        <v>0</v>
      </c>
      <c r="Q100" s="42">
        <f>'Line - 1'!Q100+'Line - 2'!Q100</f>
        <v>0</v>
      </c>
      <c r="R100" s="42">
        <f>'Line - 1'!R100+'Line - 2'!R100</f>
        <v>0</v>
      </c>
      <c r="S100" s="42">
        <f>'Line - 1'!S100+'Line - 2'!S100</f>
        <v>0</v>
      </c>
      <c r="T100" s="42">
        <f>'Line - 1'!T100+'Line - 2'!T100</f>
        <v>0</v>
      </c>
      <c r="U100" s="42">
        <f>'Line - 1'!U100+'Line - 2'!U100</f>
        <v>1</v>
      </c>
      <c r="V100" s="42">
        <f>'Line - 1'!V100+'Line - 2'!V100</f>
        <v>0</v>
      </c>
      <c r="W100" s="42">
        <f>'Line - 1'!W100+'Line - 2'!W100</f>
        <v>1</v>
      </c>
      <c r="X100" s="42">
        <f>'Line - 1'!X100+'Line - 2'!X100</f>
        <v>0</v>
      </c>
      <c r="Y100" s="42">
        <f>'Line - 1'!Y100+'Line - 2'!Y100</f>
        <v>0</v>
      </c>
      <c r="Z100" s="42">
        <f>'Line - 1'!Z100+'Line - 2'!Z100</f>
        <v>0</v>
      </c>
      <c r="AA100" s="42">
        <f>'Line - 1'!AA100+'Line - 2'!AA100</f>
        <v>0</v>
      </c>
      <c r="AB100" s="42">
        <f>'Line - 1'!AB100+'Line - 2'!AB100</f>
        <v>0</v>
      </c>
      <c r="AC100" s="42">
        <f>'Line - 1'!AC100+'Line - 2'!AC100</f>
        <v>0</v>
      </c>
      <c r="AD100" s="42">
        <f>'Line - 1'!AD100+'Line - 2'!AD100</f>
        <v>0</v>
      </c>
      <c r="AE100" s="42">
        <f>'Line - 1'!AE100+'Line - 2'!AE100</f>
        <v>0</v>
      </c>
      <c r="AF100" s="42">
        <f>'Line - 1'!AF100+'Line - 2'!AF100</f>
        <v>0</v>
      </c>
      <c r="AG100" s="30">
        <f t="shared" si="36"/>
        <v>2</v>
      </c>
    </row>
    <row r="101" spans="2:33" ht="15" customHeight="1">
      <c r="B101" s="21" t="s">
        <v>57</v>
      </c>
      <c r="C101" s="42">
        <f>'Line - 1'!C101+'Line - 2'!C101</f>
        <v>0</v>
      </c>
      <c r="D101" s="42">
        <f>'Line - 1'!D101+'Line - 2'!D101</f>
        <v>0</v>
      </c>
      <c r="E101" s="42">
        <f>'Line - 1'!E101+'Line - 2'!E101</f>
        <v>0</v>
      </c>
      <c r="F101" s="42">
        <f>'Line - 1'!F101+'Line - 2'!F101</f>
        <v>0</v>
      </c>
      <c r="G101" s="42">
        <f>'Line - 1'!G101+'Line - 2'!G101</f>
        <v>0</v>
      </c>
      <c r="H101" s="42">
        <f>'Line - 1'!H101+'Line - 2'!H101</f>
        <v>0</v>
      </c>
      <c r="I101" s="42">
        <f>'Line - 1'!I101+'Line - 2'!I101</f>
        <v>0</v>
      </c>
      <c r="J101" s="42">
        <f>'Line - 1'!J101+'Line - 2'!J101</f>
        <v>0</v>
      </c>
      <c r="K101" s="42">
        <f>'Line - 1'!K101+'Line - 2'!K101</f>
        <v>0</v>
      </c>
      <c r="L101" s="42">
        <f>'Line - 1'!L101+'Line - 2'!L101</f>
        <v>0</v>
      </c>
      <c r="M101" s="42">
        <f>'Line - 1'!M101+'Line - 2'!M101</f>
        <v>0</v>
      </c>
      <c r="N101" s="42">
        <f>'Line - 1'!N101+'Line - 2'!N101</f>
        <v>0</v>
      </c>
      <c r="O101" s="42">
        <f>'Line - 1'!O101+'Line - 2'!O101</f>
        <v>0</v>
      </c>
      <c r="P101" s="42">
        <f>'Line - 1'!P101+'Line - 2'!P101</f>
        <v>0</v>
      </c>
      <c r="Q101" s="42">
        <f>'Line - 1'!Q101+'Line - 2'!Q101</f>
        <v>0</v>
      </c>
      <c r="R101" s="42">
        <f>'Line - 1'!R101+'Line - 2'!R101</f>
        <v>0</v>
      </c>
      <c r="S101" s="42">
        <f>'Line - 1'!S101+'Line - 2'!S101</f>
        <v>0</v>
      </c>
      <c r="T101" s="42">
        <f>'Line - 1'!T101+'Line - 2'!T101</f>
        <v>0</v>
      </c>
      <c r="U101" s="42">
        <f>'Line - 1'!U101+'Line - 2'!U101</f>
        <v>0</v>
      </c>
      <c r="V101" s="42">
        <f>'Line - 1'!V101+'Line - 2'!V101</f>
        <v>0</v>
      </c>
      <c r="W101" s="42">
        <f>'Line - 1'!W101+'Line - 2'!W101</f>
        <v>0</v>
      </c>
      <c r="X101" s="42">
        <f>'Line - 1'!X101+'Line - 2'!X101</f>
        <v>0</v>
      </c>
      <c r="Y101" s="42">
        <f>'Line - 1'!Y101+'Line - 2'!Y101</f>
        <v>0</v>
      </c>
      <c r="Z101" s="42">
        <f>'Line - 1'!Z101+'Line - 2'!Z101</f>
        <v>0</v>
      </c>
      <c r="AA101" s="42">
        <f>'Line - 1'!AA101+'Line - 2'!AA101</f>
        <v>0</v>
      </c>
      <c r="AB101" s="42">
        <f>'Line - 1'!AB101+'Line - 2'!AB101</f>
        <v>0</v>
      </c>
      <c r="AC101" s="42">
        <f>'Line - 1'!AC101+'Line - 2'!AC101</f>
        <v>0</v>
      </c>
      <c r="AD101" s="42">
        <f>'Line - 1'!AD101+'Line - 2'!AD101</f>
        <v>0</v>
      </c>
      <c r="AE101" s="42">
        <f>'Line - 1'!AE101+'Line - 2'!AE101</f>
        <v>0</v>
      </c>
      <c r="AF101" s="42">
        <f>'Line - 1'!AF101+'Line - 2'!AF101</f>
        <v>0</v>
      </c>
      <c r="AG101" s="30">
        <f t="shared" si="36"/>
        <v>0</v>
      </c>
    </row>
    <row r="102" spans="2:33" ht="15" customHeight="1">
      <c r="B102" s="21" t="s">
        <v>42</v>
      </c>
      <c r="C102" s="42">
        <f>'Line - 1'!C102+'Line - 2'!C102</f>
        <v>0</v>
      </c>
      <c r="D102" s="42">
        <f>'Line - 1'!D102+'Line - 2'!D102</f>
        <v>0</v>
      </c>
      <c r="E102" s="42">
        <f>'Line - 1'!E102+'Line - 2'!E102</f>
        <v>0</v>
      </c>
      <c r="F102" s="42">
        <f>'Line - 1'!F102+'Line - 2'!F102</f>
        <v>0</v>
      </c>
      <c r="G102" s="42">
        <f>'Line - 1'!G102+'Line - 2'!G102</f>
        <v>0</v>
      </c>
      <c r="H102" s="42">
        <f>'Line - 1'!H102+'Line - 2'!H102</f>
        <v>0</v>
      </c>
      <c r="I102" s="42">
        <f>'Line - 1'!I102+'Line - 2'!I102</f>
        <v>0</v>
      </c>
      <c r="J102" s="42">
        <f>'Line - 1'!J102+'Line - 2'!J102</f>
        <v>0</v>
      </c>
      <c r="K102" s="42">
        <f>'Line - 1'!K102+'Line - 2'!K102</f>
        <v>0</v>
      </c>
      <c r="L102" s="42">
        <f>'Line - 1'!L102+'Line - 2'!L102</f>
        <v>0</v>
      </c>
      <c r="M102" s="42">
        <f>'Line - 1'!M102+'Line - 2'!M102</f>
        <v>0</v>
      </c>
      <c r="N102" s="42">
        <f>'Line - 1'!N102+'Line - 2'!N102</f>
        <v>0</v>
      </c>
      <c r="O102" s="42">
        <f>'Line - 1'!O102+'Line - 2'!O102</f>
        <v>1</v>
      </c>
      <c r="P102" s="42">
        <f>'Line - 1'!P102+'Line - 2'!P102</f>
        <v>0</v>
      </c>
      <c r="Q102" s="42">
        <f>'Line - 1'!Q102+'Line - 2'!Q102</f>
        <v>0</v>
      </c>
      <c r="R102" s="42">
        <f>'Line - 1'!R102+'Line - 2'!R102</f>
        <v>0</v>
      </c>
      <c r="S102" s="42">
        <f>'Line - 1'!S102+'Line - 2'!S102</f>
        <v>0</v>
      </c>
      <c r="T102" s="42">
        <f>'Line - 1'!T102+'Line - 2'!T102</f>
        <v>0</v>
      </c>
      <c r="U102" s="42">
        <f>'Line - 1'!U102+'Line - 2'!U102</f>
        <v>0</v>
      </c>
      <c r="V102" s="42">
        <f>'Line - 1'!V102+'Line - 2'!V102</f>
        <v>0</v>
      </c>
      <c r="W102" s="42">
        <f>'Line - 1'!W102+'Line - 2'!W102</f>
        <v>0</v>
      </c>
      <c r="X102" s="42">
        <f>'Line - 1'!X102+'Line - 2'!X102</f>
        <v>0</v>
      </c>
      <c r="Y102" s="42">
        <f>'Line - 1'!Y102+'Line - 2'!Y102</f>
        <v>0</v>
      </c>
      <c r="Z102" s="42">
        <f>'Line - 1'!Z102+'Line - 2'!Z102</f>
        <v>0</v>
      </c>
      <c r="AA102" s="42">
        <f>'Line - 1'!AA102+'Line - 2'!AA102</f>
        <v>0</v>
      </c>
      <c r="AB102" s="42">
        <f>'Line - 1'!AB102+'Line - 2'!AB102</f>
        <v>0</v>
      </c>
      <c r="AC102" s="42">
        <f>'Line - 1'!AC102+'Line - 2'!AC102</f>
        <v>0</v>
      </c>
      <c r="AD102" s="42">
        <f>'Line - 1'!AD102+'Line - 2'!AD102</f>
        <v>0</v>
      </c>
      <c r="AE102" s="42">
        <f>'Line - 1'!AE102+'Line - 2'!AE102</f>
        <v>0</v>
      </c>
      <c r="AF102" s="42">
        <f>'Line - 1'!AF102+'Line - 2'!AF102</f>
        <v>0</v>
      </c>
      <c r="AG102" s="30">
        <f t="shared" si="36"/>
        <v>1</v>
      </c>
    </row>
    <row r="103" spans="2:33" ht="15" customHeight="1">
      <c r="B103" s="21" t="s">
        <v>58</v>
      </c>
      <c r="C103" s="42">
        <f>'Line - 1'!C103+'Line - 2'!C103</f>
        <v>0</v>
      </c>
      <c r="D103" s="42">
        <f>'Line - 1'!D103+'Line - 2'!D103</f>
        <v>0</v>
      </c>
      <c r="E103" s="42">
        <f>'Line - 1'!E103+'Line - 2'!E103</f>
        <v>0</v>
      </c>
      <c r="F103" s="42">
        <f>'Line - 1'!F103+'Line - 2'!F103</f>
        <v>0</v>
      </c>
      <c r="G103" s="42">
        <f>'Line - 1'!G103+'Line - 2'!G103</f>
        <v>0</v>
      </c>
      <c r="H103" s="42">
        <f>'Line - 1'!H103+'Line - 2'!H103</f>
        <v>0</v>
      </c>
      <c r="I103" s="42">
        <f>'Line - 1'!I103+'Line - 2'!I103</f>
        <v>0</v>
      </c>
      <c r="J103" s="42">
        <f>'Line - 1'!J103+'Line - 2'!J103</f>
        <v>0</v>
      </c>
      <c r="K103" s="42">
        <f>'Line - 1'!K103+'Line - 2'!K103</f>
        <v>0</v>
      </c>
      <c r="L103" s="42">
        <f>'Line - 1'!L103+'Line - 2'!L103</f>
        <v>0</v>
      </c>
      <c r="M103" s="42">
        <f>'Line - 1'!M103+'Line - 2'!M103</f>
        <v>0</v>
      </c>
      <c r="N103" s="42">
        <f>'Line - 1'!N103+'Line - 2'!N103</f>
        <v>0</v>
      </c>
      <c r="O103" s="42">
        <f>'Line - 1'!O103+'Line - 2'!O103</f>
        <v>0</v>
      </c>
      <c r="P103" s="42">
        <f>'Line - 1'!P103+'Line - 2'!P103</f>
        <v>0</v>
      </c>
      <c r="Q103" s="42">
        <f>'Line - 1'!Q103+'Line - 2'!Q103</f>
        <v>0</v>
      </c>
      <c r="R103" s="42">
        <f>'Line - 1'!R103+'Line - 2'!R103</f>
        <v>0</v>
      </c>
      <c r="S103" s="42">
        <f>'Line - 1'!S103+'Line - 2'!S103</f>
        <v>0</v>
      </c>
      <c r="T103" s="42">
        <f>'Line - 1'!T103+'Line - 2'!T103</f>
        <v>0</v>
      </c>
      <c r="U103" s="42">
        <f>'Line - 1'!U103+'Line - 2'!U103</f>
        <v>0</v>
      </c>
      <c r="V103" s="42">
        <f>'Line - 1'!V103+'Line - 2'!V103</f>
        <v>0</v>
      </c>
      <c r="W103" s="42">
        <f>'Line - 1'!W103+'Line - 2'!W103</f>
        <v>0</v>
      </c>
      <c r="X103" s="42">
        <f>'Line - 1'!X103+'Line - 2'!X103</f>
        <v>0</v>
      </c>
      <c r="Y103" s="42">
        <f>'Line - 1'!Y103+'Line - 2'!Y103</f>
        <v>0</v>
      </c>
      <c r="Z103" s="42">
        <f>'Line - 1'!Z103+'Line - 2'!Z103</f>
        <v>0</v>
      </c>
      <c r="AA103" s="42">
        <f>'Line - 1'!AA103+'Line - 2'!AA103</f>
        <v>0</v>
      </c>
      <c r="AB103" s="42">
        <f>'Line - 1'!AB103+'Line - 2'!AB103</f>
        <v>0</v>
      </c>
      <c r="AC103" s="42">
        <f>'Line - 1'!AC103+'Line - 2'!AC103</f>
        <v>0</v>
      </c>
      <c r="AD103" s="42">
        <f>'Line - 1'!AD103+'Line - 2'!AD103</f>
        <v>0</v>
      </c>
      <c r="AE103" s="42">
        <f>'Line - 1'!AE103+'Line - 2'!AE103</f>
        <v>0</v>
      </c>
      <c r="AF103" s="42">
        <f>'Line - 1'!AF103+'Line - 2'!AF103</f>
        <v>0</v>
      </c>
      <c r="AG103" s="30">
        <f t="shared" si="36"/>
        <v>0</v>
      </c>
    </row>
    <row r="104" spans="2:33" ht="15" customHeight="1">
      <c r="B104" s="21" t="s">
        <v>38</v>
      </c>
      <c r="C104" s="42">
        <f>'Line - 1'!C104+'Line - 2'!C104</f>
        <v>0</v>
      </c>
      <c r="D104" s="42">
        <f>'Line - 1'!D104+'Line - 2'!D104</f>
        <v>0</v>
      </c>
      <c r="E104" s="42">
        <f>'Line - 1'!E104+'Line - 2'!E104</f>
        <v>0</v>
      </c>
      <c r="F104" s="42">
        <f>'Line - 1'!F104+'Line - 2'!F104</f>
        <v>0</v>
      </c>
      <c r="G104" s="42">
        <f>'Line - 1'!G104+'Line - 2'!G104</f>
        <v>0</v>
      </c>
      <c r="H104" s="42">
        <f>'Line - 1'!H104+'Line - 2'!H104</f>
        <v>0</v>
      </c>
      <c r="I104" s="42">
        <f>'Line - 1'!I104+'Line - 2'!I104</f>
        <v>0</v>
      </c>
      <c r="J104" s="42">
        <f>'Line - 1'!J104+'Line - 2'!J104</f>
        <v>0</v>
      </c>
      <c r="K104" s="42">
        <f>'Line - 1'!K104+'Line - 2'!K104</f>
        <v>0</v>
      </c>
      <c r="L104" s="42">
        <f>'Line - 1'!L104+'Line - 2'!L104</f>
        <v>0</v>
      </c>
      <c r="M104" s="42">
        <f>'Line - 1'!M104+'Line - 2'!M104</f>
        <v>0</v>
      </c>
      <c r="N104" s="42">
        <f>'Line - 1'!N104+'Line - 2'!N104</f>
        <v>0</v>
      </c>
      <c r="O104" s="42">
        <f>'Line - 1'!O104+'Line - 2'!O104</f>
        <v>0</v>
      </c>
      <c r="P104" s="42">
        <f>'Line - 1'!P104+'Line - 2'!P104</f>
        <v>0</v>
      </c>
      <c r="Q104" s="42">
        <f>'Line - 1'!Q104+'Line - 2'!Q104</f>
        <v>0</v>
      </c>
      <c r="R104" s="42">
        <f>'Line - 1'!R104+'Line - 2'!R104</f>
        <v>0</v>
      </c>
      <c r="S104" s="42">
        <f>'Line - 1'!S104+'Line - 2'!S104</f>
        <v>0</v>
      </c>
      <c r="T104" s="42">
        <f>'Line - 1'!T104+'Line - 2'!T104</f>
        <v>0</v>
      </c>
      <c r="U104" s="42">
        <f>'Line - 1'!U104+'Line - 2'!U104</f>
        <v>0</v>
      </c>
      <c r="V104" s="42">
        <f>'Line - 1'!V104+'Line - 2'!V104</f>
        <v>0</v>
      </c>
      <c r="W104" s="42">
        <f>'Line - 1'!W104+'Line - 2'!W104</f>
        <v>3</v>
      </c>
      <c r="X104" s="42">
        <f>'Line - 1'!X104+'Line - 2'!X104</f>
        <v>2</v>
      </c>
      <c r="Y104" s="42">
        <f>'Line - 1'!Y104+'Line - 2'!Y104</f>
        <v>0</v>
      </c>
      <c r="Z104" s="42">
        <f>'Line - 1'!Z104+'Line - 2'!Z104</f>
        <v>0</v>
      </c>
      <c r="AA104" s="42">
        <f>'Line - 1'!AA104+'Line - 2'!AA104</f>
        <v>0</v>
      </c>
      <c r="AB104" s="42">
        <f>'Line - 1'!AB104+'Line - 2'!AB104</f>
        <v>0</v>
      </c>
      <c r="AC104" s="42">
        <f>'Line - 1'!AC104+'Line - 2'!AC104</f>
        <v>0</v>
      </c>
      <c r="AD104" s="42">
        <f>'Line - 1'!AD104+'Line - 2'!AD104</f>
        <v>0</v>
      </c>
      <c r="AE104" s="42">
        <f>'Line - 1'!AE104+'Line - 2'!AE104</f>
        <v>0</v>
      </c>
      <c r="AF104" s="42">
        <f>'Line - 1'!AF104+'Line - 2'!AF104</f>
        <v>0</v>
      </c>
      <c r="AG104" s="30">
        <f t="shared" si="36"/>
        <v>5</v>
      </c>
    </row>
    <row r="105" spans="2:33" ht="15" customHeight="1">
      <c r="B105" s="21" t="s">
        <v>27</v>
      </c>
      <c r="C105" s="42">
        <f>'Line - 1'!C105+'Line - 2'!C105</f>
        <v>0</v>
      </c>
      <c r="D105" s="42">
        <f>'Line - 1'!D105+'Line - 2'!D105</f>
        <v>0</v>
      </c>
      <c r="E105" s="42">
        <f>'Line - 1'!E105+'Line - 2'!E105</f>
        <v>0</v>
      </c>
      <c r="F105" s="42">
        <f>'Line - 1'!F105+'Line - 2'!F105</f>
        <v>0</v>
      </c>
      <c r="G105" s="42">
        <f>'Line - 1'!G105+'Line - 2'!G105</f>
        <v>0</v>
      </c>
      <c r="H105" s="42">
        <f>'Line - 1'!H105+'Line - 2'!H105</f>
        <v>0</v>
      </c>
      <c r="I105" s="42">
        <f>'Line - 1'!I105+'Line - 2'!I105</f>
        <v>0</v>
      </c>
      <c r="J105" s="42">
        <f>'Line - 1'!J105+'Line - 2'!J105</f>
        <v>0</v>
      </c>
      <c r="K105" s="42">
        <f>'Line - 1'!K105+'Line - 2'!K105</f>
        <v>0</v>
      </c>
      <c r="L105" s="42">
        <f>'Line - 1'!L105+'Line - 2'!L105</f>
        <v>0</v>
      </c>
      <c r="M105" s="42">
        <f>'Line - 1'!M105+'Line - 2'!M105</f>
        <v>0</v>
      </c>
      <c r="N105" s="42">
        <f>'Line - 1'!N105+'Line - 2'!N105</f>
        <v>0</v>
      </c>
      <c r="O105" s="42">
        <f>'Line - 1'!O105+'Line - 2'!O105</f>
        <v>0</v>
      </c>
      <c r="P105" s="42">
        <f>'Line - 1'!P105+'Line - 2'!P105</f>
        <v>0</v>
      </c>
      <c r="Q105" s="42">
        <f>'Line - 1'!Q105+'Line - 2'!Q105</f>
        <v>0</v>
      </c>
      <c r="R105" s="42">
        <f>'Line - 1'!R105+'Line - 2'!R105</f>
        <v>0</v>
      </c>
      <c r="S105" s="42">
        <f>'Line - 1'!S105+'Line - 2'!S105</f>
        <v>0</v>
      </c>
      <c r="T105" s="42">
        <f>'Line - 1'!T105+'Line - 2'!T105</f>
        <v>0</v>
      </c>
      <c r="U105" s="42">
        <f>'Line - 1'!U105+'Line - 2'!U105</f>
        <v>0</v>
      </c>
      <c r="V105" s="42">
        <f>'Line - 1'!V105+'Line - 2'!V105</f>
        <v>0</v>
      </c>
      <c r="W105" s="42">
        <f>'Line - 1'!W105+'Line - 2'!W105</f>
        <v>0</v>
      </c>
      <c r="X105" s="42">
        <f>'Line - 1'!X105+'Line - 2'!X105</f>
        <v>0</v>
      </c>
      <c r="Y105" s="42">
        <f>'Line - 1'!Y105+'Line - 2'!Y105</f>
        <v>0</v>
      </c>
      <c r="Z105" s="42">
        <f>'Line - 1'!Z105+'Line - 2'!Z105</f>
        <v>0</v>
      </c>
      <c r="AA105" s="42">
        <f>'Line - 1'!AA105+'Line - 2'!AA105</f>
        <v>0</v>
      </c>
      <c r="AB105" s="42">
        <f>'Line - 1'!AB105+'Line - 2'!AB105</f>
        <v>0</v>
      </c>
      <c r="AC105" s="42">
        <f>'Line - 1'!AC105+'Line - 2'!AC105</f>
        <v>0</v>
      </c>
      <c r="AD105" s="42">
        <f>'Line - 1'!AD105+'Line - 2'!AD105</f>
        <v>0</v>
      </c>
      <c r="AE105" s="42">
        <f>'Line - 1'!AE105+'Line - 2'!AE105</f>
        <v>0</v>
      </c>
      <c r="AF105" s="42">
        <f>'Line - 1'!AF105+'Line - 2'!AF105</f>
        <v>0</v>
      </c>
      <c r="AG105" s="30">
        <f t="shared" si="36"/>
        <v>0</v>
      </c>
    </row>
    <row r="106" spans="2:33" ht="15" customHeight="1">
      <c r="B106" s="21" t="s">
        <v>36</v>
      </c>
      <c r="C106" s="42">
        <f>'Line - 1'!C106+'Line - 2'!C106</f>
        <v>0</v>
      </c>
      <c r="D106" s="42">
        <f>'Line - 1'!D106+'Line - 2'!D106</f>
        <v>0</v>
      </c>
      <c r="E106" s="42">
        <f>'Line - 1'!E106+'Line - 2'!E106</f>
        <v>0</v>
      </c>
      <c r="F106" s="42">
        <f>'Line - 1'!F106+'Line - 2'!F106</f>
        <v>0</v>
      </c>
      <c r="G106" s="42">
        <f>'Line - 1'!G106+'Line - 2'!G106</f>
        <v>0</v>
      </c>
      <c r="H106" s="42">
        <f>'Line - 1'!H106+'Line - 2'!H106</f>
        <v>0</v>
      </c>
      <c r="I106" s="42">
        <f>'Line - 1'!I106+'Line - 2'!I106</f>
        <v>0</v>
      </c>
      <c r="J106" s="42">
        <f>'Line - 1'!J106+'Line - 2'!J106</f>
        <v>0</v>
      </c>
      <c r="K106" s="42">
        <f>'Line - 1'!K106+'Line - 2'!K106</f>
        <v>0</v>
      </c>
      <c r="L106" s="42">
        <f>'Line - 1'!L106+'Line - 2'!L106</f>
        <v>0</v>
      </c>
      <c r="M106" s="42">
        <f>'Line - 1'!M106+'Line - 2'!M106</f>
        <v>0</v>
      </c>
      <c r="N106" s="42">
        <f>'Line - 1'!N106+'Line - 2'!N106</f>
        <v>0</v>
      </c>
      <c r="O106" s="42">
        <f>'Line - 1'!O106+'Line - 2'!O106</f>
        <v>0</v>
      </c>
      <c r="P106" s="42">
        <f>'Line - 1'!P106+'Line - 2'!P106</f>
        <v>2</v>
      </c>
      <c r="Q106" s="42">
        <f>'Line - 1'!Q106+'Line - 2'!Q106</f>
        <v>0</v>
      </c>
      <c r="R106" s="42">
        <f>'Line - 1'!R106+'Line - 2'!R106</f>
        <v>0</v>
      </c>
      <c r="S106" s="42">
        <f>'Line - 1'!S106+'Line - 2'!S106</f>
        <v>0</v>
      </c>
      <c r="T106" s="42">
        <f>'Line - 1'!T106+'Line - 2'!T106</f>
        <v>0</v>
      </c>
      <c r="U106" s="42">
        <f>'Line - 1'!U106+'Line - 2'!U106</f>
        <v>1</v>
      </c>
      <c r="V106" s="42">
        <f>'Line - 1'!V106+'Line - 2'!V106</f>
        <v>1</v>
      </c>
      <c r="W106" s="42">
        <f>'Line - 1'!W106+'Line - 2'!W106</f>
        <v>0</v>
      </c>
      <c r="X106" s="42">
        <f>'Line - 1'!X106+'Line - 2'!X106</f>
        <v>0</v>
      </c>
      <c r="Y106" s="42">
        <f>'Line - 1'!Y106+'Line - 2'!Y106</f>
        <v>0</v>
      </c>
      <c r="Z106" s="42">
        <f>'Line - 1'!Z106+'Line - 2'!Z106</f>
        <v>0</v>
      </c>
      <c r="AA106" s="42">
        <f>'Line - 1'!AA106+'Line - 2'!AA106</f>
        <v>0</v>
      </c>
      <c r="AB106" s="42">
        <f>'Line - 1'!AB106+'Line - 2'!AB106</f>
        <v>0</v>
      </c>
      <c r="AC106" s="42">
        <f>'Line - 1'!AC106+'Line - 2'!AC106</f>
        <v>0</v>
      </c>
      <c r="AD106" s="42">
        <f>'Line - 1'!AD106+'Line - 2'!AD106</f>
        <v>0</v>
      </c>
      <c r="AE106" s="42">
        <f>'Line - 1'!AE106+'Line - 2'!AE106</f>
        <v>0</v>
      </c>
      <c r="AF106" s="42">
        <f>'Line - 1'!AF106+'Line - 2'!AF106</f>
        <v>0</v>
      </c>
      <c r="AG106" s="30">
        <f t="shared" si="36"/>
        <v>4</v>
      </c>
    </row>
    <row r="107" spans="2:33" ht="15" customHeight="1">
      <c r="B107" s="21" t="s">
        <v>59</v>
      </c>
      <c r="C107" s="42">
        <f>'Line - 1'!C107+'Line - 2'!C107</f>
        <v>6</v>
      </c>
      <c r="D107" s="42">
        <f>'Line - 1'!D107+'Line - 2'!D107</f>
        <v>2</v>
      </c>
      <c r="E107" s="42">
        <f>'Line - 1'!E107+'Line - 2'!E107</f>
        <v>4</v>
      </c>
      <c r="F107" s="42">
        <f>'Line - 1'!F107+'Line - 2'!F107</f>
        <v>11</v>
      </c>
      <c r="G107" s="42">
        <f>'Line - 1'!G107+'Line - 2'!G107</f>
        <v>6</v>
      </c>
      <c r="H107" s="42">
        <f>'Line - 1'!H107+'Line - 2'!H107</f>
        <v>5</v>
      </c>
      <c r="I107" s="42">
        <f>'Line - 1'!I107+'Line - 2'!I107</f>
        <v>4</v>
      </c>
      <c r="J107" s="42">
        <f>'Line - 1'!J107+'Line - 2'!J107</f>
        <v>12</v>
      </c>
      <c r="K107" s="42">
        <f>'Line - 1'!K107+'Line - 2'!K107</f>
        <v>11</v>
      </c>
      <c r="L107" s="42">
        <f>'Line - 1'!L107+'Line - 2'!L107</f>
        <v>9</v>
      </c>
      <c r="M107" s="42">
        <f>'Line - 1'!M107+'Line - 2'!M107</f>
        <v>11</v>
      </c>
      <c r="N107" s="42">
        <f>'Line - 1'!N107+'Line - 2'!N107</f>
        <v>9</v>
      </c>
      <c r="O107" s="42">
        <f>'Line - 1'!O107+'Line - 2'!O107</f>
        <v>3</v>
      </c>
      <c r="P107" s="42">
        <f>'Line - 1'!P107+'Line - 2'!P107</f>
        <v>7</v>
      </c>
      <c r="Q107" s="42">
        <f>'Line - 1'!Q107+'Line - 2'!Q107</f>
        <v>5</v>
      </c>
      <c r="R107" s="42">
        <f>'Line - 1'!R107+'Line - 2'!R107</f>
        <v>18</v>
      </c>
      <c r="S107" s="42">
        <f>'Line - 1'!S107+'Line - 2'!S107</f>
        <v>0</v>
      </c>
      <c r="T107" s="42">
        <f>'Line - 1'!T107+'Line - 2'!T107</f>
        <v>6</v>
      </c>
      <c r="U107" s="42">
        <f>'Line - 1'!U107+'Line - 2'!U107</f>
        <v>21</v>
      </c>
      <c r="V107" s="42">
        <f>'Line - 1'!V107+'Line - 2'!V107</f>
        <v>0</v>
      </c>
      <c r="W107" s="42">
        <f>'Line - 1'!W107+'Line - 2'!W107</f>
        <v>6</v>
      </c>
      <c r="X107" s="42">
        <f>'Line - 1'!X107+'Line - 2'!X107</f>
        <v>14</v>
      </c>
      <c r="Y107" s="42">
        <f>'Line - 1'!Y107+'Line - 2'!Y107</f>
        <v>0</v>
      </c>
      <c r="Z107" s="42">
        <f>'Line - 1'!Z107+'Line - 2'!Z107</f>
        <v>0</v>
      </c>
      <c r="AA107" s="42">
        <f>'Line - 1'!AA107+'Line - 2'!AA107</f>
        <v>0</v>
      </c>
      <c r="AB107" s="42">
        <f>'Line - 1'!AB107+'Line - 2'!AB107</f>
        <v>0</v>
      </c>
      <c r="AC107" s="42">
        <f>'Line - 1'!AC107+'Line - 2'!AC107</f>
        <v>0</v>
      </c>
      <c r="AD107" s="42">
        <f>'Line - 1'!AD107+'Line - 2'!AD107</f>
        <v>0</v>
      </c>
      <c r="AE107" s="42">
        <f>'Line - 1'!AE107+'Line - 2'!AE107</f>
        <v>0</v>
      </c>
      <c r="AF107" s="42">
        <f>'Line - 1'!AF107+'Line - 2'!AF107</f>
        <v>0</v>
      </c>
      <c r="AG107" s="30">
        <f t="shared" si="36"/>
        <v>170</v>
      </c>
    </row>
    <row r="108" spans="2:33" ht="15" customHeight="1">
      <c r="B108" s="21" t="s">
        <v>60</v>
      </c>
      <c r="C108" s="42">
        <f>'Line - 1'!C108+'Line - 2'!C108</f>
        <v>0</v>
      </c>
      <c r="D108" s="42">
        <f>'Line - 1'!D108+'Line - 2'!D108</f>
        <v>0</v>
      </c>
      <c r="E108" s="42">
        <f>'Line - 1'!E108+'Line - 2'!E108</f>
        <v>0</v>
      </c>
      <c r="F108" s="42">
        <f>'Line - 1'!F108+'Line - 2'!F108</f>
        <v>0</v>
      </c>
      <c r="G108" s="42">
        <f>'Line - 1'!G108+'Line - 2'!G108</f>
        <v>0</v>
      </c>
      <c r="H108" s="42">
        <f>'Line - 1'!H108+'Line - 2'!H108</f>
        <v>0</v>
      </c>
      <c r="I108" s="42">
        <f>'Line - 1'!I108+'Line - 2'!I108</f>
        <v>0</v>
      </c>
      <c r="J108" s="42">
        <f>'Line - 1'!J108+'Line - 2'!J108</f>
        <v>0</v>
      </c>
      <c r="K108" s="42">
        <f>'Line - 1'!K108+'Line - 2'!K108</f>
        <v>0</v>
      </c>
      <c r="L108" s="42">
        <f>'Line - 1'!L108+'Line - 2'!L108</f>
        <v>0</v>
      </c>
      <c r="M108" s="42">
        <f>'Line - 1'!M108+'Line - 2'!M108</f>
        <v>0</v>
      </c>
      <c r="N108" s="42">
        <f>'Line - 1'!N108+'Line - 2'!N108</f>
        <v>0</v>
      </c>
      <c r="O108" s="42">
        <f>'Line - 1'!O108+'Line - 2'!O108</f>
        <v>0</v>
      </c>
      <c r="P108" s="42">
        <f>'Line - 1'!P108+'Line - 2'!P108</f>
        <v>0</v>
      </c>
      <c r="Q108" s="42">
        <f>'Line - 1'!Q108+'Line - 2'!Q108</f>
        <v>0</v>
      </c>
      <c r="R108" s="42">
        <f>'Line - 1'!R108+'Line - 2'!R108</f>
        <v>0</v>
      </c>
      <c r="S108" s="42">
        <f>'Line - 1'!S108+'Line - 2'!S108</f>
        <v>0</v>
      </c>
      <c r="T108" s="42">
        <f>'Line - 1'!T108+'Line - 2'!T108</f>
        <v>0</v>
      </c>
      <c r="U108" s="42">
        <f>'Line - 1'!U108+'Line - 2'!U108</f>
        <v>0</v>
      </c>
      <c r="V108" s="42">
        <f>'Line - 1'!V108+'Line - 2'!V108</f>
        <v>3</v>
      </c>
      <c r="W108" s="42">
        <f>'Line - 1'!W108+'Line - 2'!W108</f>
        <v>0</v>
      </c>
      <c r="X108" s="42">
        <f>'Line - 1'!X108+'Line - 2'!X108</f>
        <v>0</v>
      </c>
      <c r="Y108" s="42">
        <f>'Line - 1'!Y108+'Line - 2'!Y108</f>
        <v>0</v>
      </c>
      <c r="Z108" s="42">
        <f>'Line - 1'!Z108+'Line - 2'!Z108</f>
        <v>0</v>
      </c>
      <c r="AA108" s="42">
        <f>'Line - 1'!AA108+'Line - 2'!AA108</f>
        <v>0</v>
      </c>
      <c r="AB108" s="42">
        <f>'Line - 1'!AB108+'Line - 2'!AB108</f>
        <v>0</v>
      </c>
      <c r="AC108" s="42">
        <f>'Line - 1'!AC108+'Line - 2'!AC108</f>
        <v>0</v>
      </c>
      <c r="AD108" s="42">
        <f>'Line - 1'!AD108+'Line - 2'!AD108</f>
        <v>0</v>
      </c>
      <c r="AE108" s="42">
        <f>'Line - 1'!AE108+'Line - 2'!AE108</f>
        <v>0</v>
      </c>
      <c r="AF108" s="42">
        <f>'Line - 1'!AF108+'Line - 2'!AF108</f>
        <v>0</v>
      </c>
      <c r="AG108" s="30">
        <f t="shared" si="36"/>
        <v>3</v>
      </c>
    </row>
    <row r="109" spans="2:33" ht="15" customHeight="1">
      <c r="B109" s="21" t="s">
        <v>9</v>
      </c>
      <c r="C109" s="42">
        <f>'Line - 1'!C109+'Line - 2'!C109</f>
        <v>0</v>
      </c>
      <c r="D109" s="42">
        <f>'Line - 1'!D109+'Line - 2'!D109</f>
        <v>0</v>
      </c>
      <c r="E109" s="42">
        <f>'Line - 1'!E109+'Line - 2'!E109</f>
        <v>0</v>
      </c>
      <c r="F109" s="42">
        <f>'Line - 1'!F109+'Line - 2'!F109</f>
        <v>0</v>
      </c>
      <c r="G109" s="42">
        <f>'Line - 1'!G109+'Line - 2'!G109</f>
        <v>0</v>
      </c>
      <c r="H109" s="42">
        <f>'Line - 1'!H109+'Line - 2'!H109</f>
        <v>0</v>
      </c>
      <c r="I109" s="42">
        <f>'Line - 1'!I109+'Line - 2'!I109</f>
        <v>0</v>
      </c>
      <c r="J109" s="42">
        <f>'Line - 1'!J109+'Line - 2'!J109</f>
        <v>0</v>
      </c>
      <c r="K109" s="42">
        <f>'Line - 1'!K109+'Line - 2'!K109</f>
        <v>0</v>
      </c>
      <c r="L109" s="42">
        <f>'Line - 1'!L109+'Line - 2'!L109</f>
        <v>0</v>
      </c>
      <c r="M109" s="42">
        <f>'Line - 1'!M109+'Line - 2'!M109</f>
        <v>0</v>
      </c>
      <c r="N109" s="42">
        <f>'Line - 1'!N109+'Line - 2'!N109</f>
        <v>0</v>
      </c>
      <c r="O109" s="42">
        <f>'Line - 1'!O109+'Line - 2'!O109</f>
        <v>0</v>
      </c>
      <c r="P109" s="42">
        <f>'Line - 1'!P109+'Line - 2'!P109</f>
        <v>0</v>
      </c>
      <c r="Q109" s="42">
        <f>'Line - 1'!Q109+'Line - 2'!Q109</f>
        <v>0</v>
      </c>
      <c r="R109" s="42">
        <f>'Line - 1'!R109+'Line - 2'!R109</f>
        <v>0</v>
      </c>
      <c r="S109" s="42">
        <f>'Line - 1'!S109+'Line - 2'!S109</f>
        <v>0</v>
      </c>
      <c r="T109" s="42">
        <f>'Line - 1'!T109+'Line - 2'!T109</f>
        <v>0</v>
      </c>
      <c r="U109" s="42">
        <f>'Line - 1'!U109+'Line - 2'!U109</f>
        <v>0</v>
      </c>
      <c r="V109" s="42">
        <f>'Line - 1'!V109+'Line - 2'!V109</f>
        <v>0</v>
      </c>
      <c r="W109" s="42">
        <f>'Line - 1'!W109+'Line - 2'!W109</f>
        <v>0</v>
      </c>
      <c r="X109" s="42">
        <f>'Line - 1'!X109+'Line - 2'!X109</f>
        <v>0</v>
      </c>
      <c r="Y109" s="42">
        <f>'Line - 1'!Y109+'Line - 2'!Y109</f>
        <v>0</v>
      </c>
      <c r="Z109" s="42">
        <f>'Line - 1'!Z109+'Line - 2'!Z109</f>
        <v>0</v>
      </c>
      <c r="AA109" s="42">
        <f>'Line - 1'!AA109+'Line - 2'!AA109</f>
        <v>0</v>
      </c>
      <c r="AB109" s="42">
        <f>'Line - 1'!AB109+'Line - 2'!AB109</f>
        <v>0</v>
      </c>
      <c r="AC109" s="42">
        <f>'Line - 1'!AC109+'Line - 2'!AC109</f>
        <v>0</v>
      </c>
      <c r="AD109" s="42">
        <f>'Line - 1'!AD109+'Line - 2'!AD109</f>
        <v>0</v>
      </c>
      <c r="AE109" s="42">
        <f>'Line - 1'!AE109+'Line - 2'!AE109</f>
        <v>0</v>
      </c>
      <c r="AF109" s="42">
        <f>'Line - 1'!AF109+'Line - 2'!AF109</f>
        <v>0</v>
      </c>
      <c r="AG109" s="30">
        <f t="shared" si="36"/>
        <v>0</v>
      </c>
    </row>
    <row r="110" spans="2:33" ht="15" customHeight="1">
      <c r="B110" s="21" t="s">
        <v>61</v>
      </c>
      <c r="C110" s="42">
        <f>'Line - 1'!C110+'Line - 2'!C110</f>
        <v>0</v>
      </c>
      <c r="D110" s="42">
        <f>'Line - 1'!D110+'Line - 2'!D110</f>
        <v>0</v>
      </c>
      <c r="E110" s="42">
        <f>'Line - 1'!E110+'Line - 2'!E110</f>
        <v>0</v>
      </c>
      <c r="F110" s="42">
        <f>'Line - 1'!F110+'Line - 2'!F110</f>
        <v>2</v>
      </c>
      <c r="G110" s="42">
        <f>'Line - 1'!G110+'Line - 2'!G110</f>
        <v>3</v>
      </c>
      <c r="H110" s="42">
        <f>'Line - 1'!H110+'Line - 2'!H110</f>
        <v>0</v>
      </c>
      <c r="I110" s="42">
        <f>'Line - 1'!I110+'Line - 2'!I110</f>
        <v>1</v>
      </c>
      <c r="J110" s="42">
        <f>'Line - 1'!J110+'Line - 2'!J110</f>
        <v>0</v>
      </c>
      <c r="K110" s="42">
        <f>'Line - 1'!K110+'Line - 2'!K110</f>
        <v>1</v>
      </c>
      <c r="L110" s="42">
        <f>'Line - 1'!L110+'Line - 2'!L110</f>
        <v>2</v>
      </c>
      <c r="M110" s="42">
        <f>'Line - 1'!M110+'Line - 2'!M110</f>
        <v>1</v>
      </c>
      <c r="N110" s="42">
        <f>'Line - 1'!N110+'Line - 2'!N110</f>
        <v>0</v>
      </c>
      <c r="O110" s="42">
        <f>'Line - 1'!O110+'Line - 2'!O110</f>
        <v>1</v>
      </c>
      <c r="P110" s="42">
        <f>'Line - 1'!P110+'Line - 2'!P110</f>
        <v>1</v>
      </c>
      <c r="Q110" s="42">
        <f>'Line - 1'!Q110+'Line - 2'!Q110</f>
        <v>2</v>
      </c>
      <c r="R110" s="42">
        <f>'Line - 1'!R110+'Line - 2'!R110</f>
        <v>1</v>
      </c>
      <c r="S110" s="42">
        <f>'Line - 1'!S110+'Line - 2'!S110</f>
        <v>0</v>
      </c>
      <c r="T110" s="42">
        <f>'Line - 1'!T110+'Line - 2'!T110</f>
        <v>0</v>
      </c>
      <c r="U110" s="42">
        <f>'Line - 1'!U110+'Line - 2'!U110</f>
        <v>0</v>
      </c>
      <c r="V110" s="42">
        <f>'Line - 1'!V110+'Line - 2'!V110</f>
        <v>2</v>
      </c>
      <c r="W110" s="42">
        <f>'Line - 1'!W110+'Line - 2'!W110</f>
        <v>0</v>
      </c>
      <c r="X110" s="42">
        <f>'Line - 1'!X110+'Line - 2'!X110</f>
        <v>1</v>
      </c>
      <c r="Y110" s="42">
        <f>'Line - 1'!Y110+'Line - 2'!Y110</f>
        <v>0</v>
      </c>
      <c r="Z110" s="42">
        <f>'Line - 1'!Z110+'Line - 2'!Z110</f>
        <v>0</v>
      </c>
      <c r="AA110" s="42">
        <f>'Line - 1'!AA110+'Line - 2'!AA110</f>
        <v>0</v>
      </c>
      <c r="AB110" s="42">
        <f>'Line - 1'!AB110+'Line - 2'!AB110</f>
        <v>0</v>
      </c>
      <c r="AC110" s="42">
        <f>'Line - 1'!AC110+'Line - 2'!AC110</f>
        <v>0</v>
      </c>
      <c r="AD110" s="42">
        <f>'Line - 1'!AD110+'Line - 2'!AD110</f>
        <v>0</v>
      </c>
      <c r="AE110" s="42">
        <f>'Line - 1'!AE110+'Line - 2'!AE110</f>
        <v>0</v>
      </c>
      <c r="AF110" s="42">
        <f>'Line - 1'!AF110+'Line - 2'!AF110</f>
        <v>0</v>
      </c>
      <c r="AG110" s="30">
        <f t="shared" si="36"/>
        <v>18</v>
      </c>
    </row>
    <row r="111" spans="2:33" ht="15" customHeight="1">
      <c r="B111" s="21" t="s">
        <v>24</v>
      </c>
      <c r="C111" s="42">
        <f>'Line - 1'!C111+'Line - 2'!C111</f>
        <v>0</v>
      </c>
      <c r="D111" s="42">
        <f>'Line - 1'!D111+'Line - 2'!D111</f>
        <v>0</v>
      </c>
      <c r="E111" s="42">
        <f>'Line - 1'!E111+'Line - 2'!E111</f>
        <v>0</v>
      </c>
      <c r="F111" s="42">
        <f>'Line - 1'!F111+'Line - 2'!F111</f>
        <v>0</v>
      </c>
      <c r="G111" s="42">
        <f>'Line - 1'!G111+'Line - 2'!G111</f>
        <v>1</v>
      </c>
      <c r="H111" s="42">
        <f>'Line - 1'!H111+'Line - 2'!H111</f>
        <v>0</v>
      </c>
      <c r="I111" s="42">
        <f>'Line - 1'!I111+'Line - 2'!I111</f>
        <v>0</v>
      </c>
      <c r="J111" s="42">
        <f>'Line - 1'!J111+'Line - 2'!J111</f>
        <v>0</v>
      </c>
      <c r="K111" s="42">
        <f>'Line - 1'!K111+'Line - 2'!K111</f>
        <v>0</v>
      </c>
      <c r="L111" s="42">
        <f>'Line - 1'!L111+'Line - 2'!L111</f>
        <v>2</v>
      </c>
      <c r="M111" s="42">
        <f>'Line - 1'!M111+'Line - 2'!M111</f>
        <v>0</v>
      </c>
      <c r="N111" s="42">
        <f>'Line - 1'!N111+'Line - 2'!N111</f>
        <v>2</v>
      </c>
      <c r="O111" s="42">
        <f>'Line - 1'!O111+'Line - 2'!O111</f>
        <v>0</v>
      </c>
      <c r="P111" s="42">
        <f>'Line - 1'!P111+'Line - 2'!P111</f>
        <v>0</v>
      </c>
      <c r="Q111" s="42">
        <f>'Line - 1'!Q111+'Line - 2'!Q111</f>
        <v>1</v>
      </c>
      <c r="R111" s="42">
        <f>'Line - 1'!R111+'Line - 2'!R111</f>
        <v>4</v>
      </c>
      <c r="S111" s="42">
        <f>'Line - 1'!S111+'Line - 2'!S111</f>
        <v>0</v>
      </c>
      <c r="T111" s="42">
        <f>'Line - 1'!T111+'Line - 2'!T111</f>
        <v>0</v>
      </c>
      <c r="U111" s="42">
        <f>'Line - 1'!U111+'Line - 2'!U111</f>
        <v>0</v>
      </c>
      <c r="V111" s="42">
        <f>'Line - 1'!V111+'Line - 2'!V111</f>
        <v>1</v>
      </c>
      <c r="W111" s="42">
        <f>'Line - 1'!W111+'Line - 2'!W111</f>
        <v>1</v>
      </c>
      <c r="X111" s="42">
        <f>'Line - 1'!X111+'Line - 2'!X111</f>
        <v>0</v>
      </c>
      <c r="Y111" s="42">
        <f>'Line - 1'!Y111+'Line - 2'!Y111</f>
        <v>0</v>
      </c>
      <c r="Z111" s="42">
        <f>'Line - 1'!Z111+'Line - 2'!Z111</f>
        <v>0</v>
      </c>
      <c r="AA111" s="42">
        <f>'Line - 1'!AA111+'Line - 2'!AA111</f>
        <v>0</v>
      </c>
      <c r="AB111" s="42">
        <f>'Line - 1'!AB111+'Line - 2'!AB111</f>
        <v>0</v>
      </c>
      <c r="AC111" s="42">
        <f>'Line - 1'!AC111+'Line - 2'!AC111</f>
        <v>0</v>
      </c>
      <c r="AD111" s="42">
        <f>'Line - 1'!AD111+'Line - 2'!AD111</f>
        <v>0</v>
      </c>
      <c r="AE111" s="42">
        <f>'Line - 1'!AE111+'Line - 2'!AE111</f>
        <v>0</v>
      </c>
      <c r="AF111" s="42">
        <f>'Line - 1'!AF111+'Line - 2'!AF111</f>
        <v>0</v>
      </c>
      <c r="AG111" s="30">
        <f t="shared" si="36"/>
        <v>12</v>
      </c>
    </row>
    <row r="112" spans="2:33" ht="15" customHeight="1">
      <c r="B112" s="21" t="s">
        <v>62</v>
      </c>
      <c r="C112" s="42">
        <f>'Line - 1'!C112+'Line - 2'!C112</f>
        <v>0</v>
      </c>
      <c r="D112" s="42">
        <f>'Line - 1'!D112+'Line - 2'!D112</f>
        <v>0</v>
      </c>
      <c r="E112" s="42">
        <f>'Line - 1'!E112+'Line - 2'!E112</f>
        <v>0</v>
      </c>
      <c r="F112" s="42">
        <f>'Line - 1'!F112+'Line - 2'!F112</f>
        <v>0</v>
      </c>
      <c r="G112" s="42">
        <f>'Line - 1'!G112+'Line - 2'!G112</f>
        <v>0</v>
      </c>
      <c r="H112" s="42">
        <f>'Line - 1'!H112+'Line - 2'!H112</f>
        <v>0</v>
      </c>
      <c r="I112" s="42">
        <f>'Line - 1'!I112+'Line - 2'!I112</f>
        <v>0</v>
      </c>
      <c r="J112" s="42">
        <f>'Line - 1'!J112+'Line - 2'!J112</f>
        <v>0</v>
      </c>
      <c r="K112" s="42">
        <f>'Line - 1'!K112+'Line - 2'!K112</f>
        <v>0</v>
      </c>
      <c r="L112" s="42">
        <f>'Line - 1'!L112+'Line - 2'!L112</f>
        <v>0</v>
      </c>
      <c r="M112" s="42">
        <f>'Line - 1'!M112+'Line - 2'!M112</f>
        <v>0</v>
      </c>
      <c r="N112" s="42">
        <f>'Line - 1'!N112+'Line - 2'!N112</f>
        <v>0</v>
      </c>
      <c r="O112" s="42">
        <f>'Line - 1'!O112+'Line - 2'!O112</f>
        <v>0</v>
      </c>
      <c r="P112" s="42">
        <f>'Line - 1'!P112+'Line - 2'!P112</f>
        <v>0</v>
      </c>
      <c r="Q112" s="42">
        <f>'Line - 1'!Q112+'Line - 2'!Q112</f>
        <v>0</v>
      </c>
      <c r="R112" s="42">
        <f>'Line - 1'!R112+'Line - 2'!R112</f>
        <v>0</v>
      </c>
      <c r="S112" s="42">
        <f>'Line - 1'!S112+'Line - 2'!S112</f>
        <v>0</v>
      </c>
      <c r="T112" s="42">
        <f>'Line - 1'!T112+'Line - 2'!T112</f>
        <v>0</v>
      </c>
      <c r="U112" s="42">
        <f>'Line - 1'!U112+'Line - 2'!U112</f>
        <v>0</v>
      </c>
      <c r="V112" s="42">
        <f>'Line - 1'!V112+'Line - 2'!V112</f>
        <v>0</v>
      </c>
      <c r="W112" s="42">
        <f>'Line - 1'!W112+'Line - 2'!W112</f>
        <v>0</v>
      </c>
      <c r="X112" s="42">
        <f>'Line - 1'!X112+'Line - 2'!X112</f>
        <v>0</v>
      </c>
      <c r="Y112" s="42">
        <f>'Line - 1'!Y112+'Line - 2'!Y112</f>
        <v>0</v>
      </c>
      <c r="Z112" s="42">
        <f>'Line - 1'!Z112+'Line - 2'!Z112</f>
        <v>0</v>
      </c>
      <c r="AA112" s="42">
        <f>'Line - 1'!AA112+'Line - 2'!AA112</f>
        <v>0</v>
      </c>
      <c r="AB112" s="42">
        <f>'Line - 1'!AB112+'Line - 2'!AB112</f>
        <v>0</v>
      </c>
      <c r="AC112" s="42">
        <f>'Line - 1'!AC112+'Line - 2'!AC112</f>
        <v>0</v>
      </c>
      <c r="AD112" s="42">
        <f>'Line - 1'!AD112+'Line - 2'!AD112</f>
        <v>0</v>
      </c>
      <c r="AE112" s="42">
        <f>'Line - 1'!AE112+'Line - 2'!AE112</f>
        <v>0</v>
      </c>
      <c r="AF112" s="42">
        <f>'Line - 1'!AF112+'Line - 2'!AF112</f>
        <v>0</v>
      </c>
      <c r="AG112" s="30">
        <f t="shared" si="36"/>
        <v>0</v>
      </c>
    </row>
    <row r="113" spans="2:33" ht="15" customHeight="1">
      <c r="B113" s="21" t="s">
        <v>43</v>
      </c>
      <c r="C113" s="42">
        <f>'Line - 1'!C113+'Line - 2'!C113</f>
        <v>0</v>
      </c>
      <c r="D113" s="42">
        <f>'Line - 1'!D113+'Line - 2'!D113</f>
        <v>0</v>
      </c>
      <c r="E113" s="42">
        <f>'Line - 1'!E113+'Line - 2'!E113</f>
        <v>0</v>
      </c>
      <c r="F113" s="42">
        <f>'Line - 1'!F113+'Line - 2'!F113</f>
        <v>0</v>
      </c>
      <c r="G113" s="42">
        <f>'Line - 1'!G113+'Line - 2'!G113</f>
        <v>0</v>
      </c>
      <c r="H113" s="42">
        <f>'Line - 1'!H113+'Line - 2'!H113</f>
        <v>0</v>
      </c>
      <c r="I113" s="42">
        <f>'Line - 1'!I113+'Line - 2'!I113</f>
        <v>0</v>
      </c>
      <c r="J113" s="42">
        <f>'Line - 1'!J113+'Line - 2'!J113</f>
        <v>0</v>
      </c>
      <c r="K113" s="42">
        <f>'Line - 1'!K113+'Line - 2'!K113</f>
        <v>0</v>
      </c>
      <c r="L113" s="42">
        <f>'Line - 1'!L113+'Line - 2'!L113</f>
        <v>0</v>
      </c>
      <c r="M113" s="42">
        <f>'Line - 1'!M113+'Line - 2'!M113</f>
        <v>0</v>
      </c>
      <c r="N113" s="42">
        <f>'Line - 1'!N113+'Line - 2'!N113</f>
        <v>0</v>
      </c>
      <c r="O113" s="42">
        <f>'Line - 1'!O113+'Line - 2'!O113</f>
        <v>0</v>
      </c>
      <c r="P113" s="42">
        <f>'Line - 1'!P113+'Line - 2'!P113</f>
        <v>0</v>
      </c>
      <c r="Q113" s="42">
        <f>'Line - 1'!Q113+'Line - 2'!Q113</f>
        <v>0</v>
      </c>
      <c r="R113" s="42">
        <f>'Line - 1'!R113+'Line - 2'!R113</f>
        <v>0</v>
      </c>
      <c r="S113" s="42">
        <f>'Line - 1'!S113+'Line - 2'!S113</f>
        <v>0</v>
      </c>
      <c r="T113" s="42">
        <f>'Line - 1'!T113+'Line - 2'!T113</f>
        <v>0</v>
      </c>
      <c r="U113" s="42">
        <f>'Line - 1'!U113+'Line - 2'!U113</f>
        <v>0</v>
      </c>
      <c r="V113" s="42">
        <f>'Line - 1'!V113+'Line - 2'!V113</f>
        <v>0</v>
      </c>
      <c r="W113" s="42">
        <f>'Line - 1'!W113+'Line - 2'!W113</f>
        <v>0</v>
      </c>
      <c r="X113" s="42">
        <f>'Line - 1'!X113+'Line - 2'!X113</f>
        <v>0</v>
      </c>
      <c r="Y113" s="42">
        <f>'Line - 1'!Y113+'Line - 2'!Y113</f>
        <v>0</v>
      </c>
      <c r="Z113" s="42">
        <f>'Line - 1'!Z113+'Line - 2'!Z113</f>
        <v>0</v>
      </c>
      <c r="AA113" s="42">
        <f>'Line - 1'!AA113+'Line - 2'!AA113</f>
        <v>0</v>
      </c>
      <c r="AB113" s="42">
        <f>'Line - 1'!AB113+'Line - 2'!AB113</f>
        <v>0</v>
      </c>
      <c r="AC113" s="42">
        <f>'Line - 1'!AC113+'Line - 2'!AC113</f>
        <v>0</v>
      </c>
      <c r="AD113" s="42">
        <f>'Line - 1'!AD113+'Line - 2'!AD113</f>
        <v>0</v>
      </c>
      <c r="AE113" s="42">
        <f>'Line - 1'!AE113+'Line - 2'!AE113</f>
        <v>0</v>
      </c>
      <c r="AF113" s="42">
        <f>'Line - 1'!AF113+'Line - 2'!AF113</f>
        <v>0</v>
      </c>
      <c r="AG113" s="30">
        <f t="shared" si="36"/>
        <v>0</v>
      </c>
    </row>
    <row r="114" spans="2:33" ht="15" customHeight="1">
      <c r="B114" s="21" t="s">
        <v>26</v>
      </c>
      <c r="C114" s="42">
        <f>'Line - 1'!C114+'Line - 2'!C114</f>
        <v>0</v>
      </c>
      <c r="D114" s="42">
        <f>'Line - 1'!D114+'Line - 2'!D114</f>
        <v>0</v>
      </c>
      <c r="E114" s="42">
        <f>'Line - 1'!E114+'Line - 2'!E114</f>
        <v>0</v>
      </c>
      <c r="F114" s="42">
        <f>'Line - 1'!F114+'Line - 2'!F114</f>
        <v>0</v>
      </c>
      <c r="G114" s="42">
        <f>'Line - 1'!G114+'Line - 2'!G114</f>
        <v>0</v>
      </c>
      <c r="H114" s="42">
        <f>'Line - 1'!H114+'Line - 2'!H114</f>
        <v>0</v>
      </c>
      <c r="I114" s="42">
        <f>'Line - 1'!I114+'Line - 2'!I114</f>
        <v>0</v>
      </c>
      <c r="J114" s="42">
        <f>'Line - 1'!J114+'Line - 2'!J114</f>
        <v>0</v>
      </c>
      <c r="K114" s="42">
        <f>'Line - 1'!K114+'Line - 2'!K114</f>
        <v>0</v>
      </c>
      <c r="L114" s="42">
        <f>'Line - 1'!L114+'Line - 2'!L114</f>
        <v>0</v>
      </c>
      <c r="M114" s="42">
        <f>'Line - 1'!M114+'Line - 2'!M114</f>
        <v>0</v>
      </c>
      <c r="N114" s="42">
        <f>'Line - 1'!N114+'Line - 2'!N114</f>
        <v>0</v>
      </c>
      <c r="O114" s="42">
        <f>'Line - 1'!O114+'Line - 2'!O114</f>
        <v>0</v>
      </c>
      <c r="P114" s="42">
        <f>'Line - 1'!P114+'Line - 2'!P114</f>
        <v>0</v>
      </c>
      <c r="Q114" s="42">
        <f>'Line - 1'!Q114+'Line - 2'!Q114</f>
        <v>0</v>
      </c>
      <c r="R114" s="42">
        <f>'Line - 1'!R114+'Line - 2'!R114</f>
        <v>0</v>
      </c>
      <c r="S114" s="42">
        <f>'Line - 1'!S114+'Line - 2'!S114</f>
        <v>0</v>
      </c>
      <c r="T114" s="42">
        <f>'Line - 1'!T114+'Line - 2'!T114</f>
        <v>0</v>
      </c>
      <c r="U114" s="42">
        <f>'Line - 1'!U114+'Line - 2'!U114</f>
        <v>0</v>
      </c>
      <c r="V114" s="42">
        <f>'Line - 1'!V114+'Line - 2'!V114</f>
        <v>0</v>
      </c>
      <c r="W114" s="42">
        <f>'Line - 1'!W114+'Line - 2'!W114</f>
        <v>0</v>
      </c>
      <c r="X114" s="42">
        <f>'Line - 1'!X114+'Line - 2'!X114</f>
        <v>0</v>
      </c>
      <c r="Y114" s="42">
        <f>'Line - 1'!Y114+'Line - 2'!Y114</f>
        <v>0</v>
      </c>
      <c r="Z114" s="42">
        <f>'Line - 1'!Z114+'Line - 2'!Z114</f>
        <v>0</v>
      </c>
      <c r="AA114" s="42">
        <f>'Line - 1'!AA114+'Line - 2'!AA114</f>
        <v>0</v>
      </c>
      <c r="AB114" s="42">
        <f>'Line - 1'!AB114+'Line - 2'!AB114</f>
        <v>0</v>
      </c>
      <c r="AC114" s="42">
        <f>'Line - 1'!AC114+'Line - 2'!AC114</f>
        <v>0</v>
      </c>
      <c r="AD114" s="42">
        <f>'Line - 1'!AD114+'Line - 2'!AD114</f>
        <v>0</v>
      </c>
      <c r="AE114" s="42">
        <f>'Line - 1'!AE114+'Line - 2'!AE114</f>
        <v>0</v>
      </c>
      <c r="AF114" s="42">
        <f>'Line - 1'!AF114+'Line - 2'!AF114</f>
        <v>0</v>
      </c>
      <c r="AG114" s="30">
        <f t="shared" si="36"/>
        <v>0</v>
      </c>
    </row>
    <row r="115" spans="2:33" ht="15" customHeight="1">
      <c r="B115" s="21" t="s">
        <v>22</v>
      </c>
      <c r="C115" s="42">
        <f>'Line - 1'!C115+'Line - 2'!C115</f>
        <v>0</v>
      </c>
      <c r="D115" s="42">
        <f>'Line - 1'!D115+'Line - 2'!D115</f>
        <v>0</v>
      </c>
      <c r="E115" s="42">
        <f>'Line - 1'!E115+'Line - 2'!E115</f>
        <v>0</v>
      </c>
      <c r="F115" s="42">
        <f>'Line - 1'!F115+'Line - 2'!F115</f>
        <v>1</v>
      </c>
      <c r="G115" s="42">
        <f>'Line - 1'!G115+'Line - 2'!G115</f>
        <v>0</v>
      </c>
      <c r="H115" s="42">
        <f>'Line - 1'!H115+'Line - 2'!H115</f>
        <v>0</v>
      </c>
      <c r="I115" s="42">
        <f>'Line - 1'!I115+'Line - 2'!I115</f>
        <v>1</v>
      </c>
      <c r="J115" s="42">
        <f>'Line - 1'!J115+'Line - 2'!J115</f>
        <v>0</v>
      </c>
      <c r="K115" s="42">
        <f>'Line - 1'!K115+'Line - 2'!K115</f>
        <v>1</v>
      </c>
      <c r="L115" s="42">
        <f>'Line - 1'!L115+'Line - 2'!L115</f>
        <v>0</v>
      </c>
      <c r="M115" s="42">
        <f>'Line - 1'!M115+'Line - 2'!M115</f>
        <v>0</v>
      </c>
      <c r="N115" s="42">
        <f>'Line - 1'!N115+'Line - 2'!N115</f>
        <v>0</v>
      </c>
      <c r="O115" s="42">
        <f>'Line - 1'!O115+'Line - 2'!O115</f>
        <v>0</v>
      </c>
      <c r="P115" s="42">
        <f>'Line - 1'!P115+'Line - 2'!P115</f>
        <v>0</v>
      </c>
      <c r="Q115" s="42">
        <f>'Line - 1'!Q115+'Line - 2'!Q115</f>
        <v>1</v>
      </c>
      <c r="R115" s="42">
        <f>'Line - 1'!R115+'Line - 2'!R115</f>
        <v>1</v>
      </c>
      <c r="S115" s="42">
        <f>'Line - 1'!S115+'Line - 2'!S115</f>
        <v>0</v>
      </c>
      <c r="T115" s="42">
        <f>'Line - 1'!T115+'Line - 2'!T115</f>
        <v>0</v>
      </c>
      <c r="U115" s="42">
        <f>'Line - 1'!U115+'Line - 2'!U115</f>
        <v>0</v>
      </c>
      <c r="V115" s="42">
        <f>'Line - 1'!V115+'Line - 2'!V115</f>
        <v>0</v>
      </c>
      <c r="W115" s="42">
        <f>'Line - 1'!W115+'Line - 2'!W115</f>
        <v>0</v>
      </c>
      <c r="X115" s="42">
        <f>'Line - 1'!X115+'Line - 2'!X115</f>
        <v>0</v>
      </c>
      <c r="Y115" s="42">
        <f>'Line - 1'!Y115+'Line - 2'!Y115</f>
        <v>0</v>
      </c>
      <c r="Z115" s="42">
        <f>'Line - 1'!Z115+'Line - 2'!Z115</f>
        <v>0</v>
      </c>
      <c r="AA115" s="42">
        <f>'Line - 1'!AA115+'Line - 2'!AA115</f>
        <v>0</v>
      </c>
      <c r="AB115" s="42">
        <f>'Line - 1'!AB115+'Line - 2'!AB115</f>
        <v>0</v>
      </c>
      <c r="AC115" s="42">
        <f>'Line - 1'!AC115+'Line - 2'!AC115</f>
        <v>0</v>
      </c>
      <c r="AD115" s="42">
        <f>'Line - 1'!AD115+'Line - 2'!AD115</f>
        <v>0</v>
      </c>
      <c r="AE115" s="42">
        <f>'Line - 1'!AE115+'Line - 2'!AE115</f>
        <v>0</v>
      </c>
      <c r="AF115" s="42">
        <f>'Line - 1'!AF115+'Line - 2'!AF115</f>
        <v>0</v>
      </c>
      <c r="AG115" s="30">
        <f t="shared" si="36"/>
        <v>5</v>
      </c>
    </row>
    <row r="116" spans="2:33" ht="15" customHeight="1">
      <c r="B116" s="21" t="s">
        <v>45</v>
      </c>
      <c r="C116" s="42">
        <f>'Line - 1'!C116+'Line - 2'!C116</f>
        <v>0</v>
      </c>
      <c r="D116" s="42">
        <f>'Line - 1'!D116+'Line - 2'!D116</f>
        <v>0</v>
      </c>
      <c r="E116" s="42">
        <f>'Line - 1'!E116+'Line - 2'!E116</f>
        <v>0</v>
      </c>
      <c r="F116" s="42">
        <f>'Line - 1'!F116+'Line - 2'!F116</f>
        <v>0</v>
      </c>
      <c r="G116" s="42">
        <f>'Line - 1'!G116+'Line - 2'!G116</f>
        <v>0</v>
      </c>
      <c r="H116" s="42">
        <f>'Line - 1'!H116+'Line - 2'!H116</f>
        <v>0</v>
      </c>
      <c r="I116" s="42">
        <f>'Line - 1'!I116+'Line - 2'!I116</f>
        <v>0</v>
      </c>
      <c r="J116" s="42">
        <f>'Line - 1'!J116+'Line - 2'!J116</f>
        <v>0</v>
      </c>
      <c r="K116" s="42">
        <f>'Line - 1'!K116+'Line - 2'!K116</f>
        <v>0</v>
      </c>
      <c r="L116" s="42">
        <f>'Line - 1'!L116+'Line - 2'!L116</f>
        <v>0</v>
      </c>
      <c r="M116" s="42">
        <f>'Line - 1'!M116+'Line - 2'!M116</f>
        <v>0</v>
      </c>
      <c r="N116" s="42">
        <f>'Line - 1'!N116+'Line - 2'!N116</f>
        <v>0</v>
      </c>
      <c r="O116" s="42">
        <f>'Line - 1'!O116+'Line - 2'!O116</f>
        <v>0</v>
      </c>
      <c r="P116" s="42">
        <f>'Line - 1'!P116+'Line - 2'!P116</f>
        <v>0</v>
      </c>
      <c r="Q116" s="42">
        <f>'Line - 1'!Q116+'Line - 2'!Q116</f>
        <v>0</v>
      </c>
      <c r="R116" s="42">
        <f>'Line - 1'!R116+'Line - 2'!R116</f>
        <v>0</v>
      </c>
      <c r="S116" s="42">
        <f>'Line - 1'!S116+'Line - 2'!S116</f>
        <v>0</v>
      </c>
      <c r="T116" s="42">
        <f>'Line - 1'!T116+'Line - 2'!T116</f>
        <v>0</v>
      </c>
      <c r="U116" s="42">
        <f>'Line - 1'!U116+'Line - 2'!U116</f>
        <v>1</v>
      </c>
      <c r="V116" s="42">
        <f>'Line - 1'!V116+'Line - 2'!V116</f>
        <v>2</v>
      </c>
      <c r="W116" s="42">
        <f>'Line - 1'!W116+'Line - 2'!W116</f>
        <v>0</v>
      </c>
      <c r="X116" s="42">
        <f>'Line - 1'!X116+'Line - 2'!X116</f>
        <v>0</v>
      </c>
      <c r="Y116" s="42">
        <f>'Line - 1'!Y116+'Line - 2'!Y116</f>
        <v>0</v>
      </c>
      <c r="Z116" s="42">
        <f>'Line - 1'!Z116+'Line - 2'!Z116</f>
        <v>0</v>
      </c>
      <c r="AA116" s="42">
        <f>'Line - 1'!AA116+'Line - 2'!AA116</f>
        <v>0</v>
      </c>
      <c r="AB116" s="42">
        <f>'Line - 1'!AB116+'Line - 2'!AB116</f>
        <v>0</v>
      </c>
      <c r="AC116" s="42">
        <f>'Line - 1'!AC116+'Line - 2'!AC116</f>
        <v>0</v>
      </c>
      <c r="AD116" s="42">
        <f>'Line - 1'!AD116+'Line - 2'!AD116</f>
        <v>0</v>
      </c>
      <c r="AE116" s="42">
        <f>'Line - 1'!AE116+'Line - 2'!AE116</f>
        <v>0</v>
      </c>
      <c r="AF116" s="42">
        <f>'Line - 1'!AF116+'Line - 2'!AF116</f>
        <v>0</v>
      </c>
      <c r="AG116" s="30">
        <f t="shared" si="36"/>
        <v>3</v>
      </c>
    </row>
    <row r="117" spans="2:33" ht="15" customHeight="1">
      <c r="B117" s="16"/>
      <c r="C11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3" ht="15" customHeight="1">
      <c r="C118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mergeCells count="4">
    <mergeCell ref="B2:D2"/>
    <mergeCell ref="B16:D16"/>
    <mergeCell ref="B36:D36"/>
    <mergeCell ref="B70:D70"/>
  </mergeCells>
  <conditionalFormatting sqref="A75:A116">
    <cfRule type="duplicateValues" dxfId="8" priority="151315"/>
  </conditionalFormatting>
  <conditionalFormatting sqref="C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 AG40"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151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AF35">
    <cfRule type="duplicateValues" dxfId="7" priority="5"/>
  </conditionalFormatting>
  <conditionalFormatting sqref="C6:AG6">
    <cfRule type="colorScale" priority="151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15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151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151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">
    <cfRule type="colorScale" priority="1197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AF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AF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AF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G74">
    <cfRule type="colorScale" priority="151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:AF74">
    <cfRule type="colorScale" priority="151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 C6"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4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143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colorScale" priority="14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0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078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6" priority="143079"/>
  </conditionalFormatting>
  <conditionalFormatting sqref="AG74:AG116">
    <cfRule type="colorScale" priority="15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26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showGridLines="0" workbookViewId="0">
      <pane xSplit="2" ySplit="2" topLeftCell="G6" activePane="bottomRight" state="frozen"/>
      <selection pane="topRight"/>
      <selection pane="bottomLeft"/>
      <selection pane="bottomRight" activeCell="F15" sqref="F15"/>
    </sheetView>
  </sheetViews>
  <sheetFormatPr defaultColWidth="9.08984375" defaultRowHeight="11.5"/>
  <cols>
    <col min="1" max="1" width="1.90625" style="36" customWidth="1"/>
    <col min="2" max="2" width="11" style="36" customWidth="1"/>
    <col min="3" max="16384" width="9.08984375" style="36"/>
  </cols>
  <sheetData>
    <row r="1" spans="1:32">
      <c r="A1" s="36">
        <v>0</v>
      </c>
    </row>
    <row r="2" spans="1:32">
      <c r="A2" s="36">
        <v>0</v>
      </c>
      <c r="B2" s="50" t="s">
        <v>63</v>
      </c>
      <c r="C2" s="50"/>
      <c r="D2" s="50"/>
    </row>
    <row r="3" spans="1:32">
      <c r="A3" s="36">
        <v>0</v>
      </c>
      <c r="B3" s="37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</row>
    <row r="4" spans="1:32">
      <c r="A4" s="36">
        <v>0</v>
      </c>
      <c r="B4" s="38" t="s">
        <v>64</v>
      </c>
      <c r="C4" s="39">
        <v>0.1</v>
      </c>
      <c r="D4" s="39">
        <v>0.1</v>
      </c>
      <c r="E4" s="39">
        <v>0.1</v>
      </c>
      <c r="F4" s="39">
        <v>0.1</v>
      </c>
      <c r="G4" s="39">
        <v>0.1</v>
      </c>
      <c r="H4" s="39">
        <v>0.1</v>
      </c>
      <c r="I4" s="39">
        <v>0.1</v>
      </c>
      <c r="J4" s="39">
        <v>0.1</v>
      </c>
      <c r="K4" s="39">
        <v>0.1</v>
      </c>
      <c r="L4" s="39">
        <v>0.1</v>
      </c>
      <c r="M4" s="39">
        <v>0.1</v>
      </c>
      <c r="N4" s="39">
        <v>0.1</v>
      </c>
      <c r="O4" s="39">
        <v>0.1</v>
      </c>
      <c r="P4" s="39">
        <v>0.1</v>
      </c>
      <c r="Q4" s="39">
        <v>0.1</v>
      </c>
      <c r="R4" s="39">
        <v>0.1</v>
      </c>
      <c r="S4" s="39">
        <v>0.1</v>
      </c>
      <c r="T4" s="39">
        <v>0.1</v>
      </c>
      <c r="U4" s="39">
        <v>0.1</v>
      </c>
      <c r="V4" s="39">
        <v>0.1</v>
      </c>
      <c r="W4" s="39">
        <v>0.1</v>
      </c>
      <c r="X4" s="39">
        <v>0.1</v>
      </c>
      <c r="Y4" s="39">
        <v>0.1</v>
      </c>
      <c r="Z4" s="39">
        <v>0.1</v>
      </c>
      <c r="AA4" s="39">
        <v>0.1</v>
      </c>
      <c r="AB4" s="39">
        <v>0.1</v>
      </c>
      <c r="AC4" s="39">
        <v>0.1</v>
      </c>
      <c r="AD4" s="39">
        <v>0.1</v>
      </c>
      <c r="AE4" s="39">
        <v>0.1</v>
      </c>
      <c r="AF4" s="39">
        <v>0.1</v>
      </c>
    </row>
    <row r="5" spans="1:32">
      <c r="A5" s="36">
        <v>0</v>
      </c>
      <c r="B5" s="40" t="s">
        <v>65</v>
      </c>
      <c r="C5" s="41">
        <f>SUM(Data!C6+Data!C20)</f>
        <v>0.13046141282155982</v>
      </c>
      <c r="D5" s="41">
        <f>SUM(Data!D6+Data!D20)</f>
        <v>0.14021987139597594</v>
      </c>
      <c r="E5" s="41">
        <f>SUM(Data!E6+Data!E20)</f>
        <v>0.13808197373656983</v>
      </c>
      <c r="F5" s="41">
        <f>SUM(Data!F6+Data!F20)</f>
        <v>0.13374526609527607</v>
      </c>
      <c r="G5" s="41">
        <f>SUM(Data!G6+Data!G20)</f>
        <v>0.13807615230460921</v>
      </c>
      <c r="H5" s="41">
        <f>SUM(Data!H6+Data!H20)</f>
        <v>0.13506493506493505</v>
      </c>
      <c r="I5" s="41">
        <f>SUM(Data!I6+Data!I20)</f>
        <v>0.13893822774817446</v>
      </c>
      <c r="J5" s="41">
        <f>SUM(Data!J6+Data!J20)</f>
        <v>0.13998468019915741</v>
      </c>
      <c r="K5" s="41">
        <f>SUM(Data!K6+Data!K20)</f>
        <v>0.13341181086913872</v>
      </c>
      <c r="L5" s="41">
        <f>SUM(Data!L6+Data!L20)</f>
        <v>0.13378378378378378</v>
      </c>
      <c r="M5" s="41">
        <f>SUM(Data!M6+Data!M20)</f>
        <v>0.10936254980079681</v>
      </c>
      <c r="N5" s="41">
        <f>SUM(Data!N6+Data!N20)</f>
        <v>0.10681293302540415</v>
      </c>
      <c r="O5" s="41">
        <f>SUM(Data!O6+Data!O20)</f>
        <v>9.6815519765739391E-2</v>
      </c>
      <c r="P5" s="41">
        <f>SUM(Data!P6+Data!P20)</f>
        <v>0.10386699047263218</v>
      </c>
      <c r="Q5" s="41">
        <f>SUM(Data!Q6+Data!Q20)</f>
        <v>0.12253547079417726</v>
      </c>
      <c r="R5" s="41">
        <f>SUM(Data!R6+Data!R20)</f>
        <v>0.12952586206896552</v>
      </c>
      <c r="S5" s="41">
        <f>SUM(Data!S6+Data!S20)</f>
        <v>0</v>
      </c>
      <c r="T5" s="41">
        <f>SUM(Data!T6+Data!T20)</f>
        <v>0.12573715248525696</v>
      </c>
      <c r="U5" s="41">
        <f>SUM(Data!U6+Data!U20)</f>
        <v>0.13180914512922465</v>
      </c>
      <c r="V5" s="41">
        <f>SUM(Data!V6+Data!V20)</f>
        <v>0.10986892829606786</v>
      </c>
      <c r="W5" s="41">
        <f>SUM(Data!W6+Data!W20)</f>
        <v>0.1072561089349002</v>
      </c>
      <c r="X5" s="41">
        <f>SUM(Data!X6+Data!X20)</f>
        <v>0.11301501732768579</v>
      </c>
      <c r="Y5" s="41">
        <f>SUM(Data!Y6+Data!Y20)</f>
        <v>0</v>
      </c>
      <c r="Z5" s="41">
        <f>SUM(Data!Z6+Data!Z20)</f>
        <v>0</v>
      </c>
      <c r="AA5" s="41">
        <f>SUM(Data!AA6+Data!AA20)</f>
        <v>0</v>
      </c>
      <c r="AB5" s="41">
        <f>SUM(Data!AB6+Data!AB20)</f>
        <v>0</v>
      </c>
      <c r="AC5" s="41">
        <f>SUM(Data!AC6+Data!AC20)</f>
        <v>0</v>
      </c>
      <c r="AD5" s="41">
        <f>SUM(Data!AD6+Data!AD20)</f>
        <v>0</v>
      </c>
      <c r="AE5" s="41">
        <f>SUM(Data!AE6+Data!AE20)</f>
        <v>0</v>
      </c>
      <c r="AF5" s="41">
        <f>SUM(Data!AF6+Data!AF20)</f>
        <v>0</v>
      </c>
    </row>
    <row r="6" spans="1:32">
      <c r="A6" s="36">
        <v>0</v>
      </c>
    </row>
    <row r="7" spans="1:32">
      <c r="A7" s="36">
        <v>0</v>
      </c>
    </row>
    <row r="8" spans="1:32">
      <c r="A8" s="36">
        <v>0</v>
      </c>
      <c r="B8" s="50" t="s">
        <v>66</v>
      </c>
      <c r="C8" s="50"/>
      <c r="D8" s="50"/>
    </row>
    <row r="9" spans="1:32">
      <c r="A9" s="36">
        <v>0</v>
      </c>
      <c r="B9" s="37" t="s">
        <v>1</v>
      </c>
      <c r="C9" s="10">
        <v>45901</v>
      </c>
      <c r="D9" s="10">
        <v>45902</v>
      </c>
      <c r="E9" s="10">
        <v>45903</v>
      </c>
      <c r="F9" s="10">
        <v>45904</v>
      </c>
      <c r="G9" s="10">
        <v>45905</v>
      </c>
      <c r="H9" s="10">
        <v>45906</v>
      </c>
      <c r="I9" s="10">
        <v>45907</v>
      </c>
      <c r="J9" s="10">
        <v>45908</v>
      </c>
      <c r="K9" s="10">
        <v>45909</v>
      </c>
      <c r="L9" s="10">
        <v>45910</v>
      </c>
      <c r="M9" s="10">
        <v>45911</v>
      </c>
      <c r="N9" s="10">
        <v>45912</v>
      </c>
      <c r="O9" s="10">
        <v>45913</v>
      </c>
      <c r="P9" s="10">
        <v>45914</v>
      </c>
      <c r="Q9" s="10">
        <v>45915</v>
      </c>
      <c r="R9" s="10">
        <v>45916</v>
      </c>
      <c r="S9" s="10">
        <v>45917</v>
      </c>
      <c r="T9" s="10">
        <v>45918</v>
      </c>
      <c r="U9" s="10">
        <v>45919</v>
      </c>
      <c r="V9" s="10">
        <v>45920</v>
      </c>
      <c r="W9" s="10">
        <v>45921</v>
      </c>
      <c r="X9" s="10">
        <v>45922</v>
      </c>
      <c r="Y9" s="10">
        <v>45923</v>
      </c>
      <c r="Z9" s="10">
        <v>45924</v>
      </c>
      <c r="AA9" s="10">
        <v>45925</v>
      </c>
      <c r="AB9" s="10">
        <v>45926</v>
      </c>
      <c r="AC9" s="10">
        <v>45927</v>
      </c>
      <c r="AD9" s="10">
        <v>45928</v>
      </c>
      <c r="AE9" s="10">
        <v>45929</v>
      </c>
      <c r="AF9" s="10">
        <v>45930</v>
      </c>
    </row>
    <row r="10" spans="1:32">
      <c r="A10" s="36">
        <v>0</v>
      </c>
      <c r="B10" s="38" t="s">
        <v>67</v>
      </c>
      <c r="C10" s="39">
        <v>0.01</v>
      </c>
      <c r="D10" s="39">
        <v>0.01</v>
      </c>
      <c r="E10" s="39">
        <v>0.01</v>
      </c>
      <c r="F10" s="39">
        <v>0.01</v>
      </c>
      <c r="G10" s="39">
        <v>0.01</v>
      </c>
      <c r="H10" s="39">
        <v>0.01</v>
      </c>
      <c r="I10" s="39">
        <v>0.01</v>
      </c>
      <c r="J10" s="39">
        <v>0.01</v>
      </c>
      <c r="K10" s="39">
        <v>0.01</v>
      </c>
      <c r="L10" s="39">
        <v>0.01</v>
      </c>
      <c r="M10" s="39">
        <v>0.01</v>
      </c>
      <c r="N10" s="39">
        <v>0.01</v>
      </c>
      <c r="O10" s="39">
        <v>0.01</v>
      </c>
      <c r="P10" s="39">
        <v>0.01</v>
      </c>
      <c r="Q10" s="39">
        <v>0.01</v>
      </c>
      <c r="R10" s="39">
        <v>0.01</v>
      </c>
      <c r="S10" s="39">
        <v>0.01</v>
      </c>
      <c r="T10" s="39">
        <v>0.01</v>
      </c>
      <c r="U10" s="39">
        <v>0.01</v>
      </c>
      <c r="V10" s="39">
        <v>0.01</v>
      </c>
      <c r="W10" s="39">
        <v>0.01</v>
      </c>
      <c r="X10" s="39">
        <v>0.01</v>
      </c>
      <c r="Y10" s="39">
        <v>0.01</v>
      </c>
      <c r="Z10" s="39">
        <v>0.01</v>
      </c>
      <c r="AA10" s="39">
        <v>0.01</v>
      </c>
      <c r="AB10" s="39">
        <v>0.01</v>
      </c>
      <c r="AC10" s="39">
        <v>0.01</v>
      </c>
      <c r="AD10" s="39">
        <v>0.01</v>
      </c>
      <c r="AE10" s="39">
        <v>0.01</v>
      </c>
      <c r="AF10" s="39">
        <v>0.01</v>
      </c>
    </row>
    <row r="11" spans="1:32">
      <c r="A11" s="36">
        <v>0</v>
      </c>
      <c r="B11" s="40" t="s">
        <v>68</v>
      </c>
      <c r="C11" s="41">
        <f>Data!C40</f>
        <v>7.8470824949698186E-3</v>
      </c>
      <c r="D11" s="41">
        <f>Data!D40</f>
        <v>6.46371976647206E-3</v>
      </c>
      <c r="E11" s="41">
        <f>Data!E40</f>
        <v>6.8562210123008669E-3</v>
      </c>
      <c r="F11" s="41">
        <f>Data!F40</f>
        <v>6.0606060606060606E-3</v>
      </c>
      <c r="G11" s="41">
        <f>Data!G40</f>
        <v>7.1899340922708206E-3</v>
      </c>
      <c r="H11" s="41">
        <f>Data!H40</f>
        <v>5.8268032951577257E-3</v>
      </c>
      <c r="I11" s="41">
        <f>Data!I40</f>
        <v>6.6119014225606088E-3</v>
      </c>
      <c r="J11" s="41">
        <f>Data!J40</f>
        <v>6.2417249858142615E-3</v>
      </c>
      <c r="K11" s="41">
        <f>Data!K40</f>
        <v>7.5024679170779861E-3</v>
      </c>
      <c r="L11" s="41">
        <f>Data!L40</f>
        <v>8.3977900552486186E-3</v>
      </c>
      <c r="M11" s="41">
        <f>Data!M40</f>
        <v>7.4989866234292666E-3</v>
      </c>
      <c r="N11" s="41">
        <f>Data!N40</f>
        <v>7.8110116212611923E-3</v>
      </c>
      <c r="O11" s="41">
        <f>Data!O40</f>
        <v>6.7226890756302525E-3</v>
      </c>
      <c r="P11" s="41">
        <f>Data!P40</f>
        <v>7.3166270349368937E-3</v>
      </c>
      <c r="Q11" s="41">
        <f>Data!Q40</f>
        <v>7.3253193087903833E-3</v>
      </c>
      <c r="R11" s="41">
        <f>Data!R40</f>
        <v>5.4325955734406441E-3</v>
      </c>
      <c r="S11" s="41">
        <f>Data!S40</f>
        <v>0</v>
      </c>
      <c r="T11" s="41">
        <f>Data!T40</f>
        <v>5.7842046718576193E-3</v>
      </c>
      <c r="U11" s="41">
        <f>Data!U40</f>
        <v>6.132542037586548E-3</v>
      </c>
      <c r="V11" s="41">
        <f>Data!V40</f>
        <v>2.5540275049115912E-3</v>
      </c>
      <c r="W11" s="41">
        <f>Data!W40</f>
        <v>7.3863636363636362E-3</v>
      </c>
      <c r="X11" s="41">
        <f>Data!X40</f>
        <v>8.3018867924528304E-3</v>
      </c>
      <c r="Y11" s="41">
        <f>Data!Y40</f>
        <v>0</v>
      </c>
      <c r="Z11" s="41">
        <f>Data!Z40</f>
        <v>0</v>
      </c>
      <c r="AA11" s="41">
        <f>Data!AA40</f>
        <v>0</v>
      </c>
      <c r="AB11" s="41">
        <f>Data!AB40</f>
        <v>0</v>
      </c>
      <c r="AC11" s="41">
        <f>Data!AC40</f>
        <v>0</v>
      </c>
      <c r="AD11" s="41">
        <f>Data!AD40</f>
        <v>0</v>
      </c>
      <c r="AE11" s="41">
        <f>Data!AE40</f>
        <v>0</v>
      </c>
      <c r="AF11" s="41">
        <f>Data!AF40</f>
        <v>0</v>
      </c>
    </row>
    <row r="14" spans="1:32">
      <c r="A14" s="36">
        <v>0</v>
      </c>
      <c r="B14" s="50" t="s">
        <v>69</v>
      </c>
      <c r="C14" s="50"/>
      <c r="D14" s="50"/>
    </row>
    <row r="15" spans="1:32">
      <c r="A15" s="36">
        <v>0</v>
      </c>
      <c r="B15" s="37" t="s">
        <v>1</v>
      </c>
      <c r="C15" s="10">
        <v>45901</v>
      </c>
      <c r="D15" s="10">
        <v>45902</v>
      </c>
      <c r="E15" s="10">
        <v>45903</v>
      </c>
      <c r="F15" s="10">
        <v>45904</v>
      </c>
      <c r="G15" s="10">
        <v>45905</v>
      </c>
      <c r="H15" s="10">
        <v>45906</v>
      </c>
      <c r="I15" s="10">
        <v>45907</v>
      </c>
      <c r="J15" s="10">
        <v>45908</v>
      </c>
      <c r="K15" s="10">
        <v>45909</v>
      </c>
      <c r="L15" s="10">
        <v>45910</v>
      </c>
      <c r="M15" s="10">
        <v>45911</v>
      </c>
      <c r="N15" s="10">
        <v>45912</v>
      </c>
      <c r="O15" s="10">
        <v>45913</v>
      </c>
      <c r="P15" s="10">
        <v>45914</v>
      </c>
      <c r="Q15" s="10">
        <v>45915</v>
      </c>
      <c r="R15" s="10">
        <v>45916</v>
      </c>
      <c r="S15" s="10">
        <v>45917</v>
      </c>
      <c r="T15" s="10">
        <v>45918</v>
      </c>
      <c r="U15" s="10">
        <v>45919</v>
      </c>
      <c r="V15" s="10">
        <v>45920</v>
      </c>
      <c r="W15" s="10">
        <v>45921</v>
      </c>
      <c r="X15" s="10">
        <v>45922</v>
      </c>
      <c r="Y15" s="10">
        <v>45923</v>
      </c>
      <c r="Z15" s="10">
        <v>45924</v>
      </c>
      <c r="AA15" s="10">
        <v>45925</v>
      </c>
      <c r="AB15" s="10">
        <v>45926</v>
      </c>
      <c r="AC15" s="10">
        <v>45927</v>
      </c>
      <c r="AD15" s="10">
        <v>45928</v>
      </c>
      <c r="AE15" s="10">
        <v>45929</v>
      </c>
      <c r="AF15" s="10">
        <v>45930</v>
      </c>
    </row>
    <row r="16" spans="1:32">
      <c r="A16" s="36">
        <v>0</v>
      </c>
      <c r="B16" s="38" t="s">
        <v>67</v>
      </c>
      <c r="C16" s="39">
        <v>0.01</v>
      </c>
      <c r="D16" s="39">
        <v>0.01</v>
      </c>
      <c r="E16" s="39">
        <v>0.01</v>
      </c>
      <c r="F16" s="39">
        <v>0.01</v>
      </c>
      <c r="G16" s="39">
        <v>0.01</v>
      </c>
      <c r="H16" s="39">
        <v>0.01</v>
      </c>
      <c r="I16" s="39">
        <v>0.01</v>
      </c>
      <c r="J16" s="39">
        <v>0.01</v>
      </c>
      <c r="K16" s="39">
        <v>0.01</v>
      </c>
      <c r="L16" s="39">
        <v>0.01</v>
      </c>
      <c r="M16" s="39">
        <v>0.01</v>
      </c>
      <c r="N16" s="39">
        <v>0.01</v>
      </c>
      <c r="O16" s="39">
        <v>0.01</v>
      </c>
      <c r="P16" s="39">
        <v>0.01</v>
      </c>
      <c r="Q16" s="39">
        <v>0.01</v>
      </c>
      <c r="R16" s="39">
        <v>0.01</v>
      </c>
      <c r="S16" s="39">
        <v>0.01</v>
      </c>
      <c r="T16" s="39">
        <v>0.01</v>
      </c>
      <c r="U16" s="39">
        <v>0.01</v>
      </c>
      <c r="V16" s="39">
        <v>0.01</v>
      </c>
      <c r="W16" s="39">
        <v>0.01</v>
      </c>
      <c r="X16" s="39">
        <v>0.01</v>
      </c>
      <c r="Y16" s="39">
        <v>0.01</v>
      </c>
      <c r="Z16" s="39">
        <v>0.01</v>
      </c>
      <c r="AA16" s="39">
        <v>0.01</v>
      </c>
      <c r="AB16" s="39">
        <v>0.01</v>
      </c>
      <c r="AC16" s="39">
        <v>0.01</v>
      </c>
      <c r="AD16" s="39">
        <v>0.01</v>
      </c>
      <c r="AE16" s="39">
        <v>0.01</v>
      </c>
      <c r="AF16" s="39">
        <v>0.01</v>
      </c>
    </row>
    <row r="17" spans="1:32">
      <c r="A17" s="36">
        <v>0</v>
      </c>
      <c r="B17" s="40" t="s">
        <v>68</v>
      </c>
      <c r="C17" s="41">
        <f>Data!C74</f>
        <v>7.3829415193316494E-3</v>
      </c>
      <c r="D17" s="41">
        <f>Data!D74</f>
        <v>7.8756476683937825E-3</v>
      </c>
      <c r="E17" s="41">
        <f>Data!E74</f>
        <v>6.0617911615174032E-3</v>
      </c>
      <c r="F17" s="41">
        <f>Data!F74</f>
        <v>8.8422784289533211E-3</v>
      </c>
      <c r="G17" s="41">
        <f>Data!G74</f>
        <v>4.3903412492516461E-3</v>
      </c>
      <c r="H17" s="41">
        <f>Data!H74</f>
        <v>5.7518488085456041E-3</v>
      </c>
      <c r="I17" s="41">
        <f>Data!I74</f>
        <v>5.3835800807537013E-3</v>
      </c>
      <c r="J17" s="41">
        <f>Data!J74</f>
        <v>5.5769230769230765E-3</v>
      </c>
      <c r="K17" s="41">
        <f>Data!K74</f>
        <v>5.8263740532142165E-3</v>
      </c>
      <c r="L17" s="41">
        <f>Data!L74</f>
        <v>5.8297706956859695E-3</v>
      </c>
      <c r="M17" s="41">
        <f>Data!M74</f>
        <v>6.970260223048327E-3</v>
      </c>
      <c r="N17" s="41">
        <f>Data!N74</f>
        <v>4.807692307692308E-3</v>
      </c>
      <c r="O17" s="41">
        <f>Data!O74</f>
        <v>5.9615384615384617E-3</v>
      </c>
      <c r="P17" s="41">
        <f>Data!P74</f>
        <v>7.2755121577637374E-3</v>
      </c>
      <c r="Q17" s="41">
        <f>Data!Q74</f>
        <v>2.8735632183908046E-3</v>
      </c>
      <c r="R17" s="41">
        <f>Data!R74</f>
        <v>9.805806575658528E-3</v>
      </c>
      <c r="S17" s="41">
        <f>Data!S74</f>
        <v>0</v>
      </c>
      <c r="T17" s="41">
        <f>Data!T74</f>
        <v>1.5507310589277803E-3</v>
      </c>
      <c r="U17" s="41">
        <f>Data!U74</f>
        <v>7.4971164936562858E-3</v>
      </c>
      <c r="V17" s="41">
        <f>Data!V74</f>
        <v>4.2372881355932203E-3</v>
      </c>
      <c r="W17" s="41">
        <f>Data!W74</f>
        <v>4.4205266192581206E-3</v>
      </c>
      <c r="X17" s="41">
        <f>Data!X74</f>
        <v>7.3020753266717911E-3</v>
      </c>
      <c r="Y17" s="41">
        <f>Data!Y74</f>
        <v>0</v>
      </c>
      <c r="Z17" s="41">
        <f>Data!Z74</f>
        <v>0</v>
      </c>
      <c r="AA17" s="41">
        <f>Data!AA74</f>
        <v>0</v>
      </c>
      <c r="AB17" s="41">
        <f>Data!AB74</f>
        <v>0</v>
      </c>
      <c r="AC17" s="41">
        <f>Data!AC74</f>
        <v>0</v>
      </c>
      <c r="AD17" s="41">
        <f>Data!AD74</f>
        <v>0</v>
      </c>
      <c r="AE17" s="41">
        <f>Data!AE74</f>
        <v>0</v>
      </c>
      <c r="AF17" s="41">
        <f>Data!AF74</f>
        <v>0</v>
      </c>
    </row>
  </sheetData>
  <mergeCells count="3">
    <mergeCell ref="B2:D2"/>
    <mergeCell ref="B8:D8"/>
    <mergeCell ref="B14:D14"/>
  </mergeCells>
  <pageMargins left="0.7" right="0.7" top="0.75" bottom="0.75" header="0.3" footer="0.3"/>
  <pageSetup paperSize="26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142"/>
  <sheetViews>
    <sheetView topLeftCell="A10" zoomScale="85" zoomScaleNormal="85" workbookViewId="0">
      <pane xSplit="2" topLeftCell="C1" activePane="topRight" state="frozen"/>
      <selection pane="topRight" activeCell="B33" sqref="B33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23" width="9.08984375" style="7"/>
    <col min="24" max="24" width="8.90625" style="7" customWidth="1"/>
    <col min="25" max="27" width="9.08984375" style="7"/>
    <col min="28" max="28" width="11" style="7"/>
    <col min="29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v>2222</v>
      </c>
      <c r="D4" s="12">
        <v>2277</v>
      </c>
      <c r="E4" s="12">
        <v>2264</v>
      </c>
      <c r="F4" s="12">
        <v>2292</v>
      </c>
      <c r="G4" s="12">
        <v>2389</v>
      </c>
      <c r="H4" s="12">
        <v>2383</v>
      </c>
      <c r="I4" s="12">
        <v>2372</v>
      </c>
      <c r="J4" s="12">
        <v>2514</v>
      </c>
      <c r="K4" s="12">
        <v>2518</v>
      </c>
      <c r="L4" s="12">
        <v>1891</v>
      </c>
      <c r="M4" s="12">
        <v>2315</v>
      </c>
      <c r="N4" s="12">
        <v>2584</v>
      </c>
      <c r="O4" s="12">
        <v>2529</v>
      </c>
      <c r="P4" s="12">
        <v>2499</v>
      </c>
      <c r="Q4" s="12">
        <v>2612</v>
      </c>
      <c r="R4" s="12">
        <v>2114</v>
      </c>
      <c r="S4" s="12">
        <v>0</v>
      </c>
      <c r="T4" s="12">
        <v>2115</v>
      </c>
      <c r="U4" s="12">
        <v>2386</v>
      </c>
      <c r="V4" s="12">
        <v>2381</v>
      </c>
      <c r="W4" s="12">
        <v>2626</v>
      </c>
      <c r="X4" s="12">
        <v>2486</v>
      </c>
      <c r="Y4" s="12"/>
      <c r="Z4" s="12"/>
      <c r="AA4" s="12"/>
      <c r="AB4" s="12"/>
      <c r="AC4" s="12"/>
      <c r="AD4" s="12"/>
      <c r="AE4" s="12"/>
      <c r="AF4" s="12"/>
      <c r="AG4" s="30">
        <f>SUM(C4:AF4)</f>
        <v>49769</v>
      </c>
    </row>
    <row r="5" spans="2:33" ht="15" customHeight="1">
      <c r="B5" s="11" t="s">
        <v>4</v>
      </c>
      <c r="C5" s="12">
        <f>SUM(C7:C14)</f>
        <v>215</v>
      </c>
      <c r="D5" s="12">
        <f t="shared" ref="D5:AG5" si="0">SUM(D7:D14)</f>
        <v>225</v>
      </c>
      <c r="E5" s="12">
        <f t="shared" si="0"/>
        <v>239</v>
      </c>
      <c r="F5" s="12">
        <f t="shared" si="0"/>
        <v>230</v>
      </c>
      <c r="G5" s="12">
        <f t="shared" si="0"/>
        <v>212</v>
      </c>
      <c r="H5" s="12">
        <f t="shared" si="0"/>
        <v>211</v>
      </c>
      <c r="I5" s="12">
        <f t="shared" si="0"/>
        <v>200</v>
      </c>
      <c r="J5" s="12">
        <f t="shared" si="0"/>
        <v>252</v>
      </c>
      <c r="K5" s="12">
        <f t="shared" si="0"/>
        <v>222</v>
      </c>
      <c r="L5" s="12">
        <f t="shared" si="0"/>
        <v>180</v>
      </c>
      <c r="M5" s="12">
        <f t="shared" si="0"/>
        <v>164</v>
      </c>
      <c r="N5" s="12">
        <f t="shared" si="0"/>
        <v>222</v>
      </c>
      <c r="O5" s="12">
        <f t="shared" si="0"/>
        <v>188</v>
      </c>
      <c r="P5" s="12">
        <f t="shared" si="0"/>
        <v>204</v>
      </c>
      <c r="Q5" s="12">
        <f t="shared" si="0"/>
        <v>258</v>
      </c>
      <c r="R5" s="12">
        <f t="shared" si="0"/>
        <v>240</v>
      </c>
      <c r="S5" s="12">
        <f t="shared" si="0"/>
        <v>0</v>
      </c>
      <c r="T5" s="12">
        <f t="shared" si="0"/>
        <v>211</v>
      </c>
      <c r="U5" s="12">
        <f t="shared" si="0"/>
        <v>206</v>
      </c>
      <c r="V5" s="12">
        <f t="shared" si="0"/>
        <v>191</v>
      </c>
      <c r="W5" s="12">
        <f t="shared" si="0"/>
        <v>191</v>
      </c>
      <c r="X5" s="12">
        <f t="shared" si="0"/>
        <v>228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4489</v>
      </c>
    </row>
    <row r="6" spans="2:33" ht="15" customHeight="1">
      <c r="B6" s="13" t="s">
        <v>5</v>
      </c>
      <c r="C6" s="14">
        <f t="shared" ref="C6:AG6" si="1">IF(C4=0,0,(C5/C4))</f>
        <v>9.6759675967596756E-2</v>
      </c>
      <c r="D6" s="14">
        <f t="shared" si="1"/>
        <v>9.8814229249011856E-2</v>
      </c>
      <c r="E6" s="14">
        <f t="shared" si="1"/>
        <v>0.10556537102473498</v>
      </c>
      <c r="F6" s="14">
        <f t="shared" si="1"/>
        <v>0.10034904013961606</v>
      </c>
      <c r="G6" s="14">
        <f t="shared" si="1"/>
        <v>8.8740058601925492E-2</v>
      </c>
      <c r="H6" s="14">
        <f t="shared" si="1"/>
        <v>8.8543852287033153E-2</v>
      </c>
      <c r="I6" s="14">
        <f t="shared" si="1"/>
        <v>8.4317032040472181E-2</v>
      </c>
      <c r="J6" s="14">
        <f t="shared" si="1"/>
        <v>0.10023866348448687</v>
      </c>
      <c r="K6" s="14">
        <f t="shared" si="1"/>
        <v>8.8165210484511522E-2</v>
      </c>
      <c r="L6" s="14">
        <f t="shared" si="1"/>
        <v>9.5187731359069272E-2</v>
      </c>
      <c r="M6" s="14">
        <f t="shared" si="1"/>
        <v>7.0842332613390929E-2</v>
      </c>
      <c r="N6" s="14">
        <f t="shared" si="1"/>
        <v>8.5913312693498459E-2</v>
      </c>
      <c r="O6" s="14">
        <f t="shared" si="1"/>
        <v>7.4337682878608147E-2</v>
      </c>
      <c r="P6" s="14">
        <f t="shared" si="1"/>
        <v>8.1632653061224483E-2</v>
      </c>
      <c r="Q6" s="14">
        <f t="shared" si="1"/>
        <v>9.8774885145482383E-2</v>
      </c>
      <c r="R6" s="14">
        <f t="shared" si="1"/>
        <v>0.11352885525070956</v>
      </c>
      <c r="S6" s="14">
        <f t="shared" si="1"/>
        <v>0</v>
      </c>
      <c r="T6" s="14">
        <f t="shared" si="1"/>
        <v>9.9763593380614662E-2</v>
      </c>
      <c r="U6" s="14">
        <f t="shared" si="1"/>
        <v>8.6336965632858337E-2</v>
      </c>
      <c r="V6" s="14">
        <f t="shared" si="1"/>
        <v>8.0218395632087353E-2</v>
      </c>
      <c r="W6" s="14">
        <f t="shared" si="1"/>
        <v>7.2734196496572728E-2</v>
      </c>
      <c r="X6" s="14">
        <f t="shared" si="1"/>
        <v>9.1713596138374903E-2</v>
      </c>
      <c r="Y6" s="14">
        <f t="shared" si="1"/>
        <v>0</v>
      </c>
      <c r="Z6" s="14">
        <f t="shared" si="1"/>
        <v>0</v>
      </c>
      <c r="AA6" s="14">
        <f t="shared" si="1"/>
        <v>0</v>
      </c>
      <c r="AB6" s="14">
        <f t="shared" si="1"/>
        <v>0</v>
      </c>
      <c r="AC6" s="14">
        <f t="shared" si="1"/>
        <v>0</v>
      </c>
      <c r="AD6" s="14">
        <f t="shared" si="1"/>
        <v>0</v>
      </c>
      <c r="AE6" s="14">
        <f t="shared" si="1"/>
        <v>0</v>
      </c>
      <c r="AF6" s="14">
        <f t="shared" si="1"/>
        <v>0</v>
      </c>
      <c r="AG6" s="14">
        <f t="shared" si="1"/>
        <v>9.0196708794631195E-2</v>
      </c>
    </row>
    <row r="7" spans="2:33" ht="15" customHeight="1">
      <c r="B7" s="11" t="s">
        <v>6</v>
      </c>
      <c r="C7" s="12">
        <v>28</v>
      </c>
      <c r="D7" s="12">
        <v>41</v>
      </c>
      <c r="E7" s="12">
        <v>29</v>
      </c>
      <c r="F7" s="12">
        <v>47</v>
      </c>
      <c r="G7" s="12">
        <v>31</v>
      </c>
      <c r="H7" s="12">
        <v>45</v>
      </c>
      <c r="I7" s="12">
        <v>41</v>
      </c>
      <c r="J7" s="12">
        <v>44</v>
      </c>
      <c r="K7" s="12">
        <v>32</v>
      </c>
      <c r="L7" s="12">
        <v>23</v>
      </c>
      <c r="M7" s="12">
        <v>36</v>
      </c>
      <c r="N7" s="12">
        <v>45</v>
      </c>
      <c r="O7" s="12">
        <v>28</v>
      </c>
      <c r="P7" s="12">
        <v>31</v>
      </c>
      <c r="Q7" s="12">
        <v>44</v>
      </c>
      <c r="R7" s="12">
        <v>29</v>
      </c>
      <c r="S7" s="12">
        <v>0</v>
      </c>
      <c r="T7" s="12">
        <v>42</v>
      </c>
      <c r="U7" s="12">
        <v>34</v>
      </c>
      <c r="V7" s="12">
        <v>28</v>
      </c>
      <c r="W7" s="12">
        <v>23</v>
      </c>
      <c r="X7" s="12">
        <v>38</v>
      </c>
      <c r="Y7" s="12"/>
      <c r="Z7" s="12"/>
      <c r="AA7" s="12"/>
      <c r="AB7" s="12"/>
      <c r="AC7" s="12"/>
      <c r="AD7" s="12"/>
      <c r="AE7" s="12"/>
      <c r="AF7" s="12"/>
      <c r="AG7" s="30">
        <f t="shared" ref="AG7:AG14" si="2">+SUM(C7:AF7)</f>
        <v>739</v>
      </c>
    </row>
    <row r="8" spans="2:33" ht="15" customHeight="1">
      <c r="B8" s="11" t="s">
        <v>7</v>
      </c>
      <c r="C8" s="12">
        <v>3</v>
      </c>
      <c r="D8" s="12">
        <v>0</v>
      </c>
      <c r="E8" s="12">
        <v>1</v>
      </c>
      <c r="F8" s="12">
        <v>3</v>
      </c>
      <c r="G8" s="12">
        <v>2</v>
      </c>
      <c r="H8" s="12">
        <v>0</v>
      </c>
      <c r="I8" s="12">
        <v>0</v>
      </c>
      <c r="J8" s="12">
        <v>2</v>
      </c>
      <c r="K8" s="12">
        <v>1</v>
      </c>
      <c r="L8" s="12">
        <v>1</v>
      </c>
      <c r="M8" s="12">
        <v>1</v>
      </c>
      <c r="N8" s="12">
        <v>1</v>
      </c>
      <c r="O8" s="12">
        <v>0</v>
      </c>
      <c r="P8" s="12">
        <v>0</v>
      </c>
      <c r="Q8" s="12">
        <v>3</v>
      </c>
      <c r="R8" s="12">
        <v>0</v>
      </c>
      <c r="S8" s="12">
        <v>0</v>
      </c>
      <c r="T8" s="12">
        <v>2</v>
      </c>
      <c r="U8" s="12">
        <v>3</v>
      </c>
      <c r="V8" s="12">
        <v>2</v>
      </c>
      <c r="W8" s="12">
        <v>0</v>
      </c>
      <c r="X8" s="12">
        <v>1</v>
      </c>
      <c r="Y8" s="12"/>
      <c r="Z8" s="12"/>
      <c r="AA8" s="27"/>
      <c r="AB8" s="12"/>
      <c r="AC8" s="12"/>
      <c r="AD8" s="12"/>
      <c r="AE8" s="12"/>
      <c r="AF8" s="12"/>
      <c r="AG8" s="30">
        <f t="shared" si="2"/>
        <v>26</v>
      </c>
    </row>
    <row r="9" spans="2:33" ht="15" customHeight="1">
      <c r="B9" s="11" t="s">
        <v>8</v>
      </c>
      <c r="C9" s="12">
        <v>128</v>
      </c>
      <c r="D9" s="12">
        <v>115</v>
      </c>
      <c r="E9" s="12">
        <v>159</v>
      </c>
      <c r="F9" s="12">
        <v>131</v>
      </c>
      <c r="G9" s="12">
        <v>130</v>
      </c>
      <c r="H9" s="12">
        <v>114</v>
      </c>
      <c r="I9" s="12">
        <v>87</v>
      </c>
      <c r="J9" s="12">
        <v>109</v>
      </c>
      <c r="K9" s="12">
        <v>127</v>
      </c>
      <c r="L9" s="12">
        <v>108</v>
      </c>
      <c r="M9" s="12">
        <v>82</v>
      </c>
      <c r="N9" s="12">
        <v>102</v>
      </c>
      <c r="O9" s="12">
        <v>95</v>
      </c>
      <c r="P9" s="12">
        <v>111</v>
      </c>
      <c r="Q9" s="12">
        <v>141</v>
      </c>
      <c r="R9" s="12">
        <v>128</v>
      </c>
      <c r="S9" s="12">
        <v>0</v>
      </c>
      <c r="T9" s="12">
        <v>106</v>
      </c>
      <c r="U9" s="12">
        <v>113</v>
      </c>
      <c r="V9" s="8">
        <v>99</v>
      </c>
      <c r="W9" s="12">
        <v>115</v>
      </c>
      <c r="X9" s="12">
        <v>116</v>
      </c>
      <c r="Y9" s="12"/>
      <c r="Z9" s="12"/>
      <c r="AA9" s="12"/>
      <c r="AB9" s="12"/>
      <c r="AC9" s="12"/>
      <c r="AD9" s="12"/>
      <c r="AE9" s="12"/>
      <c r="AF9" s="12"/>
      <c r="AG9" s="30">
        <f t="shared" si="2"/>
        <v>2416</v>
      </c>
    </row>
    <row r="10" spans="2:33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8">
        <v>0</v>
      </c>
      <c r="X10" s="12">
        <v>0</v>
      </c>
      <c r="Y10" s="12"/>
      <c r="Z10" s="12"/>
      <c r="AA10" s="12"/>
      <c r="AB10" s="12"/>
      <c r="AC10" s="12"/>
      <c r="AD10" s="12"/>
      <c r="AE10" s="12"/>
      <c r="AF10" s="12"/>
      <c r="AG10" s="30">
        <f t="shared" si="2"/>
        <v>0</v>
      </c>
    </row>
    <row r="11" spans="2:33" ht="15" customHeight="1">
      <c r="B11" s="11" t="s">
        <v>10</v>
      </c>
      <c r="C11" s="12">
        <v>21</v>
      </c>
      <c r="D11" s="12">
        <v>22</v>
      </c>
      <c r="E11" s="12">
        <v>17</v>
      </c>
      <c r="F11" s="12">
        <v>17</v>
      </c>
      <c r="G11" s="12">
        <v>17</v>
      </c>
      <c r="H11" s="12">
        <v>18</v>
      </c>
      <c r="I11" s="12">
        <v>27</v>
      </c>
      <c r="J11" s="12">
        <v>30</v>
      </c>
      <c r="K11" s="12">
        <v>17</v>
      </c>
      <c r="L11" s="12">
        <v>17</v>
      </c>
      <c r="M11" s="12">
        <v>12</v>
      </c>
      <c r="N11" s="12">
        <v>28</v>
      </c>
      <c r="O11" s="12">
        <v>19</v>
      </c>
      <c r="P11" s="12">
        <v>21</v>
      </c>
      <c r="Q11" s="12">
        <v>27</v>
      </c>
      <c r="R11" s="12">
        <v>30</v>
      </c>
      <c r="S11" s="12">
        <v>0</v>
      </c>
      <c r="T11" s="12">
        <v>17</v>
      </c>
      <c r="U11" s="12">
        <v>17</v>
      </c>
      <c r="V11" s="12">
        <v>20</v>
      </c>
      <c r="W11" s="12">
        <v>17</v>
      </c>
      <c r="X11" s="12">
        <v>30</v>
      </c>
      <c r="Y11" s="12"/>
      <c r="Z11" s="12"/>
      <c r="AA11" s="12"/>
      <c r="AB11" s="12"/>
      <c r="AC11" s="12"/>
      <c r="AD11" s="12"/>
      <c r="AE11" s="12"/>
      <c r="AF11" s="12"/>
      <c r="AG11" s="30">
        <f t="shared" si="2"/>
        <v>441</v>
      </c>
    </row>
    <row r="12" spans="2:33" ht="15" customHeight="1">
      <c r="B12" s="11" t="s">
        <v>11</v>
      </c>
      <c r="C12" s="12">
        <v>9</v>
      </c>
      <c r="D12" s="12">
        <v>9</v>
      </c>
      <c r="E12" s="12">
        <v>9</v>
      </c>
      <c r="F12" s="12">
        <v>4</v>
      </c>
      <c r="G12" s="12">
        <v>10</v>
      </c>
      <c r="H12" s="12">
        <v>6</v>
      </c>
      <c r="I12" s="12">
        <v>9</v>
      </c>
      <c r="J12" s="12">
        <v>25</v>
      </c>
      <c r="K12" s="12">
        <v>13</v>
      </c>
      <c r="L12" s="12">
        <v>9</v>
      </c>
      <c r="M12" s="12">
        <v>8</v>
      </c>
      <c r="N12" s="12">
        <v>13</v>
      </c>
      <c r="O12" s="12">
        <v>20</v>
      </c>
      <c r="P12" s="12">
        <v>11</v>
      </c>
      <c r="Q12" s="12">
        <v>9</v>
      </c>
      <c r="R12" s="12">
        <v>11</v>
      </c>
      <c r="S12" s="12">
        <v>0</v>
      </c>
      <c r="T12" s="12">
        <v>6</v>
      </c>
      <c r="U12" s="12">
        <v>17</v>
      </c>
      <c r="V12" s="12">
        <v>16</v>
      </c>
      <c r="W12" s="12">
        <v>9</v>
      </c>
      <c r="X12" s="27">
        <v>14</v>
      </c>
      <c r="Y12" s="12"/>
      <c r="Z12" s="12"/>
      <c r="AA12" s="12"/>
      <c r="AB12" s="12"/>
      <c r="AC12" s="12"/>
      <c r="AD12" s="12"/>
      <c r="AE12" s="12"/>
      <c r="AF12" s="12"/>
      <c r="AG12" s="30">
        <f t="shared" si="2"/>
        <v>237</v>
      </c>
    </row>
    <row r="13" spans="2:33" ht="15" customHeight="1">
      <c r="B13" s="11" t="s">
        <v>12</v>
      </c>
      <c r="C13" s="12">
        <v>25</v>
      </c>
      <c r="D13" s="12">
        <v>37</v>
      </c>
      <c r="E13" s="12">
        <v>22</v>
      </c>
      <c r="F13" s="12">
        <v>27</v>
      </c>
      <c r="G13" s="12">
        <v>21</v>
      </c>
      <c r="H13" s="12">
        <v>24</v>
      </c>
      <c r="I13" s="12">
        <v>34</v>
      </c>
      <c r="J13" s="12">
        <v>38</v>
      </c>
      <c r="K13" s="12">
        <v>31</v>
      </c>
      <c r="L13" s="12">
        <v>22</v>
      </c>
      <c r="M13" s="12">
        <v>24</v>
      </c>
      <c r="N13" s="12">
        <v>32</v>
      </c>
      <c r="O13" s="12">
        <v>25</v>
      </c>
      <c r="P13" s="12">
        <v>28</v>
      </c>
      <c r="Q13" s="12">
        <v>33</v>
      </c>
      <c r="R13" s="12">
        <v>41</v>
      </c>
      <c r="S13" s="12">
        <v>0</v>
      </c>
      <c r="T13" s="12">
        <v>29</v>
      </c>
      <c r="U13" s="12">
        <v>20</v>
      </c>
      <c r="V13" s="12">
        <v>24</v>
      </c>
      <c r="W13" s="12">
        <v>21</v>
      </c>
      <c r="X13" s="12">
        <v>27</v>
      </c>
      <c r="Y13" s="12"/>
      <c r="Z13" s="12"/>
      <c r="AA13" s="12"/>
      <c r="AB13" s="12"/>
      <c r="AC13" s="12"/>
      <c r="AD13" s="12"/>
      <c r="AE13" s="12"/>
      <c r="AF13" s="12"/>
      <c r="AG13" s="30">
        <f t="shared" si="2"/>
        <v>585</v>
      </c>
    </row>
    <row r="14" spans="2:33" ht="15" customHeight="1">
      <c r="B14" s="11" t="s">
        <v>13</v>
      </c>
      <c r="C14" s="12">
        <v>1</v>
      </c>
      <c r="D14" s="12">
        <v>1</v>
      </c>
      <c r="E14" s="12">
        <v>2</v>
      </c>
      <c r="F14" s="12">
        <v>1</v>
      </c>
      <c r="G14" s="12">
        <v>1</v>
      </c>
      <c r="H14" s="12">
        <v>4</v>
      </c>
      <c r="I14" s="12">
        <v>2</v>
      </c>
      <c r="J14" s="12">
        <v>4</v>
      </c>
      <c r="K14" s="12">
        <v>1</v>
      </c>
      <c r="L14" s="12">
        <v>0</v>
      </c>
      <c r="M14" s="12">
        <v>1</v>
      </c>
      <c r="N14" s="12">
        <v>1</v>
      </c>
      <c r="O14" s="12">
        <v>1</v>
      </c>
      <c r="P14" s="12">
        <v>2</v>
      </c>
      <c r="Q14" s="12">
        <v>1</v>
      </c>
      <c r="R14" s="12">
        <v>1</v>
      </c>
      <c r="S14" s="12">
        <v>0</v>
      </c>
      <c r="T14" s="12">
        <v>9</v>
      </c>
      <c r="U14" s="12">
        <v>2</v>
      </c>
      <c r="V14" s="12">
        <v>2</v>
      </c>
      <c r="W14" s="12">
        <v>6</v>
      </c>
      <c r="X14" s="12">
        <v>2</v>
      </c>
      <c r="Y14" s="12"/>
      <c r="Z14" s="12"/>
      <c r="AA14" s="12"/>
      <c r="AB14" s="12"/>
      <c r="AC14" s="12"/>
      <c r="AD14" s="12"/>
      <c r="AE14" s="12"/>
      <c r="AF14" s="12"/>
      <c r="AG14" s="30">
        <f t="shared" si="2"/>
        <v>45</v>
      </c>
    </row>
    <row r="15" spans="2:33" ht="15" customHeight="1">
      <c r="B15" s="15"/>
    </row>
    <row r="16" spans="2:33" ht="15" customHeight="1">
      <c r="B16" s="46" t="s">
        <v>14</v>
      </c>
      <c r="C16" s="47"/>
      <c r="D16" s="4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v>2222</v>
      </c>
      <c r="D18" s="12">
        <v>2277</v>
      </c>
      <c r="E18" s="12">
        <v>2264</v>
      </c>
      <c r="F18" s="12">
        <v>2292</v>
      </c>
      <c r="G18" s="12">
        <v>2389</v>
      </c>
      <c r="H18" s="12">
        <v>2383</v>
      </c>
      <c r="I18" s="12">
        <v>2372</v>
      </c>
      <c r="J18" s="12">
        <v>2514</v>
      </c>
      <c r="K18" s="12">
        <v>2518</v>
      </c>
      <c r="L18" s="12">
        <v>1891</v>
      </c>
      <c r="M18" s="12">
        <v>2315</v>
      </c>
      <c r="N18" s="12">
        <v>2584</v>
      </c>
      <c r="O18" s="12">
        <v>2529</v>
      </c>
      <c r="P18" s="12">
        <v>2499</v>
      </c>
      <c r="Q18" s="12">
        <v>2612</v>
      </c>
      <c r="R18" s="12">
        <v>2114</v>
      </c>
      <c r="S18" s="12">
        <v>0</v>
      </c>
      <c r="T18" s="12">
        <v>2115</v>
      </c>
      <c r="U18" s="12">
        <v>2386</v>
      </c>
      <c r="V18" s="12">
        <v>2381</v>
      </c>
      <c r="W18" s="12">
        <v>2626</v>
      </c>
      <c r="X18" s="12">
        <v>2486</v>
      </c>
      <c r="Y18" s="12"/>
      <c r="Z18" s="12"/>
      <c r="AA18" s="12"/>
      <c r="AB18" s="12"/>
      <c r="AC18" s="12"/>
      <c r="AD18" s="12"/>
      <c r="AE18" s="12"/>
      <c r="AF18" s="12"/>
      <c r="AG18" s="30">
        <f>SUM(C18:AF18)</f>
        <v>49769</v>
      </c>
    </row>
    <row r="19" spans="1:33" ht="15" customHeight="1">
      <c r="B19" s="11" t="s">
        <v>4</v>
      </c>
      <c r="C19" s="12">
        <f>SUM(C21:C33)</f>
        <v>93</v>
      </c>
      <c r="D19" s="12">
        <f t="shared" ref="D19:AG19" si="3">SUM(D21:D33)</f>
        <v>118</v>
      </c>
      <c r="E19" s="12">
        <f t="shared" si="3"/>
        <v>157</v>
      </c>
      <c r="F19" s="12">
        <f t="shared" si="3"/>
        <v>133</v>
      </c>
      <c r="G19" s="12">
        <f t="shared" si="3"/>
        <v>141</v>
      </c>
      <c r="H19" s="12">
        <f t="shared" si="3"/>
        <v>113</v>
      </c>
      <c r="I19" s="12">
        <f t="shared" si="3"/>
        <v>104</v>
      </c>
      <c r="J19" s="12">
        <f t="shared" si="3"/>
        <v>107</v>
      </c>
      <c r="K19" s="12">
        <f t="shared" si="3"/>
        <v>104</v>
      </c>
      <c r="L19" s="12">
        <f t="shared" si="3"/>
        <v>74</v>
      </c>
      <c r="M19" s="12">
        <f t="shared" si="3"/>
        <v>58</v>
      </c>
      <c r="N19" s="12">
        <f t="shared" si="3"/>
        <v>109</v>
      </c>
      <c r="O19" s="12">
        <f t="shared" si="3"/>
        <v>86</v>
      </c>
      <c r="P19" s="12">
        <f t="shared" si="3"/>
        <v>76</v>
      </c>
      <c r="Q19" s="12">
        <f t="shared" si="3"/>
        <v>101</v>
      </c>
      <c r="R19" s="12">
        <f t="shared" si="3"/>
        <v>73</v>
      </c>
      <c r="S19" s="12">
        <f t="shared" si="3"/>
        <v>0</v>
      </c>
      <c r="T19" s="12">
        <f t="shared" si="3"/>
        <v>84</v>
      </c>
      <c r="U19" s="12">
        <f t="shared" si="3"/>
        <v>107</v>
      </c>
      <c r="V19" s="12">
        <f t="shared" si="3"/>
        <v>100</v>
      </c>
      <c r="W19" s="12">
        <f t="shared" si="3"/>
        <v>82</v>
      </c>
      <c r="X19" s="12">
        <f t="shared" si="3"/>
        <v>100</v>
      </c>
      <c r="Y19" s="12">
        <f t="shared" si="3"/>
        <v>0</v>
      </c>
      <c r="Z19" s="12">
        <f t="shared" si="3"/>
        <v>0</v>
      </c>
      <c r="AA19" s="12">
        <f t="shared" si="3"/>
        <v>0</v>
      </c>
      <c r="AB19" s="12">
        <f t="shared" si="3"/>
        <v>0</v>
      </c>
      <c r="AC19" s="12">
        <f t="shared" si="3"/>
        <v>0</v>
      </c>
      <c r="AD19" s="12">
        <f t="shared" si="3"/>
        <v>0</v>
      </c>
      <c r="AE19" s="12">
        <f t="shared" si="3"/>
        <v>0</v>
      </c>
      <c r="AF19" s="12">
        <f t="shared" si="3"/>
        <v>0</v>
      </c>
      <c r="AG19" s="12">
        <f t="shared" si="3"/>
        <v>2120</v>
      </c>
    </row>
    <row r="20" spans="1:33" s="6" customFormat="1" ht="15" customHeight="1">
      <c r="A20" s="6" t="s">
        <v>15</v>
      </c>
      <c r="B20" s="13" t="s">
        <v>5</v>
      </c>
      <c r="C20" s="14">
        <f t="shared" ref="C20:AG20" si="4">IF(C18=0,0,(C19/C18))</f>
        <v>4.1854185418541856E-2</v>
      </c>
      <c r="D20" s="14">
        <f t="shared" si="4"/>
        <v>5.1822573561704E-2</v>
      </c>
      <c r="E20" s="14">
        <f t="shared" si="4"/>
        <v>6.934628975265017E-2</v>
      </c>
      <c r="F20" s="14">
        <f t="shared" si="4"/>
        <v>5.8027923211169286E-2</v>
      </c>
      <c r="G20" s="14">
        <f t="shared" si="4"/>
        <v>5.9020510673922146E-2</v>
      </c>
      <c r="H20" s="14">
        <f t="shared" si="4"/>
        <v>4.7419219471254721E-2</v>
      </c>
      <c r="I20" s="14">
        <f t="shared" si="4"/>
        <v>4.3844856661045532E-2</v>
      </c>
      <c r="J20" s="14">
        <f t="shared" si="4"/>
        <v>4.2561654733492445E-2</v>
      </c>
      <c r="K20" s="14">
        <f t="shared" si="4"/>
        <v>4.1302621127879267E-2</v>
      </c>
      <c r="L20" s="14">
        <f t="shared" si="4"/>
        <v>3.9132734003172923E-2</v>
      </c>
      <c r="M20" s="14">
        <f t="shared" si="4"/>
        <v>2.5053995680345574E-2</v>
      </c>
      <c r="N20" s="14">
        <f t="shared" si="4"/>
        <v>4.2182662538699692E-2</v>
      </c>
      <c r="O20" s="14">
        <f t="shared" si="4"/>
        <v>3.4005535784895215E-2</v>
      </c>
      <c r="P20" s="14">
        <f t="shared" si="4"/>
        <v>3.0412164865946379E-2</v>
      </c>
      <c r="Q20" s="14">
        <f t="shared" si="4"/>
        <v>3.8667687595712097E-2</v>
      </c>
      <c r="R20" s="14">
        <f t="shared" si="4"/>
        <v>3.453169347209082E-2</v>
      </c>
      <c r="S20" s="14">
        <f t="shared" si="4"/>
        <v>0</v>
      </c>
      <c r="T20" s="14">
        <f t="shared" si="4"/>
        <v>3.971631205673759E-2</v>
      </c>
      <c r="U20" s="14">
        <f t="shared" si="4"/>
        <v>4.4844928751047779E-2</v>
      </c>
      <c r="V20" s="14">
        <f t="shared" si="4"/>
        <v>4.1999160016799666E-2</v>
      </c>
      <c r="W20" s="14">
        <f t="shared" si="4"/>
        <v>3.1226199543031227E-2</v>
      </c>
      <c r="X20" s="14">
        <f t="shared" si="4"/>
        <v>4.0225261464199517E-2</v>
      </c>
      <c r="Y20" s="14">
        <f t="shared" si="4"/>
        <v>0</v>
      </c>
      <c r="Z20" s="14">
        <f t="shared" si="4"/>
        <v>0</v>
      </c>
      <c r="AA20" s="14">
        <f t="shared" si="4"/>
        <v>0</v>
      </c>
      <c r="AB20" s="14">
        <f t="shared" si="4"/>
        <v>0</v>
      </c>
      <c r="AC20" s="14">
        <f t="shared" si="4"/>
        <v>0</v>
      </c>
      <c r="AD20" s="14">
        <f t="shared" si="4"/>
        <v>0</v>
      </c>
      <c r="AE20" s="14">
        <f t="shared" si="4"/>
        <v>0</v>
      </c>
      <c r="AF20" s="14">
        <f t="shared" si="4"/>
        <v>0</v>
      </c>
      <c r="AG20" s="14">
        <f t="shared" si="4"/>
        <v>4.259679720307822E-2</v>
      </c>
    </row>
    <row r="21" spans="1:33" ht="15" customHeight="1">
      <c r="B21" s="11" t="s">
        <v>16</v>
      </c>
      <c r="C21" s="12">
        <v>5</v>
      </c>
      <c r="D21" s="12">
        <v>0</v>
      </c>
      <c r="E21" s="12">
        <v>1</v>
      </c>
      <c r="F21" s="12">
        <v>0</v>
      </c>
      <c r="G21" s="12">
        <v>3</v>
      </c>
      <c r="H21" s="12">
        <v>2</v>
      </c>
      <c r="I21" s="12">
        <v>1</v>
      </c>
      <c r="J21" s="12">
        <v>9</v>
      </c>
      <c r="K21" s="12">
        <v>0</v>
      </c>
      <c r="L21" s="12">
        <v>0</v>
      </c>
      <c r="M21" s="12">
        <v>1</v>
      </c>
      <c r="N21" s="12">
        <v>1</v>
      </c>
      <c r="O21" s="12">
        <v>4</v>
      </c>
      <c r="P21" s="12">
        <v>0</v>
      </c>
      <c r="Q21" s="12">
        <v>4</v>
      </c>
      <c r="R21" s="12">
        <v>0</v>
      </c>
      <c r="S21" s="12">
        <v>0</v>
      </c>
      <c r="T21" s="12">
        <v>2</v>
      </c>
      <c r="U21" s="12">
        <v>0</v>
      </c>
      <c r="V21" s="12">
        <v>1</v>
      </c>
      <c r="W21" s="12">
        <v>0</v>
      </c>
      <c r="X21" s="12">
        <v>5</v>
      </c>
      <c r="Y21" s="12"/>
      <c r="Z21" s="12"/>
      <c r="AA21" s="12"/>
      <c r="AB21" s="12"/>
      <c r="AC21" s="12"/>
      <c r="AD21" s="12"/>
      <c r="AE21" s="12"/>
      <c r="AF21" s="12"/>
      <c r="AG21" s="30">
        <f t="shared" ref="AG21:AG33" si="5">+SUM(C21:AF21)</f>
        <v>39</v>
      </c>
    </row>
    <row r="22" spans="1:33" ht="15" customHeight="1">
      <c r="B22" s="9" t="s">
        <v>17</v>
      </c>
      <c r="C22" s="12">
        <v>9</v>
      </c>
      <c r="D22" s="12">
        <v>5</v>
      </c>
      <c r="E22" s="12">
        <v>9</v>
      </c>
      <c r="F22" s="12">
        <v>27</v>
      </c>
      <c r="G22" s="12">
        <v>10</v>
      </c>
      <c r="H22" s="12">
        <v>7</v>
      </c>
      <c r="I22" s="12">
        <v>0</v>
      </c>
      <c r="J22" s="12">
        <v>2</v>
      </c>
      <c r="K22" s="12">
        <v>12</v>
      </c>
      <c r="L22" s="12">
        <v>8</v>
      </c>
      <c r="M22" s="12">
        <v>14</v>
      </c>
      <c r="N22" s="12">
        <v>14</v>
      </c>
      <c r="O22" s="12">
        <v>5</v>
      </c>
      <c r="P22" s="12">
        <v>6</v>
      </c>
      <c r="Q22" s="12">
        <v>5</v>
      </c>
      <c r="R22" s="12">
        <v>6</v>
      </c>
      <c r="S22" s="12">
        <v>0</v>
      </c>
      <c r="T22" s="12">
        <v>9</v>
      </c>
      <c r="U22" s="12">
        <v>8</v>
      </c>
      <c r="V22" s="12">
        <v>7</v>
      </c>
      <c r="W22" s="12">
        <v>10</v>
      </c>
      <c r="X22" s="12">
        <v>21</v>
      </c>
      <c r="Y22" s="12"/>
      <c r="Z22" s="12"/>
      <c r="AA22" s="12"/>
      <c r="AB22" s="12"/>
      <c r="AC22" s="12"/>
      <c r="AD22" s="12"/>
      <c r="AE22" s="12"/>
      <c r="AF22" s="12"/>
      <c r="AG22" s="30">
        <f t="shared" si="5"/>
        <v>194</v>
      </c>
    </row>
    <row r="23" spans="1:33" ht="15" customHeight="1">
      <c r="B23" s="11" t="s">
        <v>18</v>
      </c>
      <c r="C23" s="12">
        <v>1</v>
      </c>
      <c r="D23" s="12">
        <v>2</v>
      </c>
      <c r="E23" s="12">
        <v>1</v>
      </c>
      <c r="F23" s="12">
        <v>2</v>
      </c>
      <c r="G23" s="12">
        <v>0</v>
      </c>
      <c r="H23" s="12">
        <v>0</v>
      </c>
      <c r="I23" s="12">
        <v>3</v>
      </c>
      <c r="J23" s="12">
        <v>0</v>
      </c>
      <c r="K23" s="12">
        <v>5</v>
      </c>
      <c r="L23" s="12">
        <v>5</v>
      </c>
      <c r="M23" s="12">
        <v>0</v>
      </c>
      <c r="N23" s="12">
        <v>3</v>
      </c>
      <c r="O23" s="12">
        <v>2</v>
      </c>
      <c r="P23" s="12">
        <v>3</v>
      </c>
      <c r="Q23" s="12">
        <v>1</v>
      </c>
      <c r="R23" s="12">
        <v>2</v>
      </c>
      <c r="S23" s="12">
        <v>0</v>
      </c>
      <c r="T23" s="12">
        <v>3</v>
      </c>
      <c r="U23" s="12">
        <v>6</v>
      </c>
      <c r="V23" s="12">
        <v>6</v>
      </c>
      <c r="W23" s="12">
        <v>2</v>
      </c>
      <c r="X23" s="12">
        <v>4</v>
      </c>
      <c r="Y23" s="12"/>
      <c r="Z23" s="12"/>
      <c r="AA23" s="12"/>
      <c r="AB23" s="12"/>
      <c r="AC23" s="12"/>
      <c r="AD23" s="12"/>
      <c r="AE23" s="12"/>
      <c r="AF23" s="12"/>
      <c r="AG23" s="30">
        <f t="shared" si="5"/>
        <v>51</v>
      </c>
    </row>
    <row r="24" spans="1:33" ht="15" customHeight="1">
      <c r="B24" s="9" t="s">
        <v>19</v>
      </c>
      <c r="C24" s="12">
        <v>41</v>
      </c>
      <c r="D24" s="12">
        <v>70</v>
      </c>
      <c r="E24" s="12">
        <v>111</v>
      </c>
      <c r="F24" s="12">
        <v>68</v>
      </c>
      <c r="G24" s="12">
        <v>73</v>
      </c>
      <c r="H24" s="12">
        <v>70</v>
      </c>
      <c r="I24" s="12">
        <v>51</v>
      </c>
      <c r="J24" s="12">
        <v>58</v>
      </c>
      <c r="K24" s="12">
        <v>45</v>
      </c>
      <c r="L24" s="12">
        <v>35</v>
      </c>
      <c r="M24" s="12">
        <v>22</v>
      </c>
      <c r="N24" s="12">
        <v>45</v>
      </c>
      <c r="O24" s="12">
        <v>40</v>
      </c>
      <c r="P24" s="12">
        <v>40</v>
      </c>
      <c r="Q24" s="12">
        <v>53</v>
      </c>
      <c r="R24" s="12">
        <v>44</v>
      </c>
      <c r="S24" s="12">
        <v>0</v>
      </c>
      <c r="T24" s="12">
        <v>38</v>
      </c>
      <c r="U24" s="12">
        <v>62</v>
      </c>
      <c r="V24" s="12">
        <v>47</v>
      </c>
      <c r="W24" s="12">
        <v>34</v>
      </c>
      <c r="X24" s="12">
        <v>34</v>
      </c>
      <c r="Y24" s="12"/>
      <c r="Z24" s="12"/>
      <c r="AA24" s="12"/>
      <c r="AB24" s="12"/>
      <c r="AC24" s="12"/>
      <c r="AD24" s="12"/>
      <c r="AE24" s="12"/>
      <c r="AF24" s="12"/>
      <c r="AG24" s="30">
        <f t="shared" si="5"/>
        <v>1081</v>
      </c>
    </row>
    <row r="25" spans="1:33" ht="13.9" customHeight="1">
      <c r="B25" s="11" t="s">
        <v>20</v>
      </c>
      <c r="C25" s="12">
        <v>3</v>
      </c>
      <c r="D25" s="12">
        <v>9</v>
      </c>
      <c r="E25" s="12">
        <v>10</v>
      </c>
      <c r="F25" s="12">
        <v>9</v>
      </c>
      <c r="G25" s="12">
        <v>5</v>
      </c>
      <c r="H25" s="12">
        <v>5</v>
      </c>
      <c r="I25" s="12">
        <v>10</v>
      </c>
      <c r="J25" s="12">
        <v>2</v>
      </c>
      <c r="K25" s="12">
        <v>4</v>
      </c>
      <c r="L25" s="12">
        <v>1</v>
      </c>
      <c r="M25" s="12">
        <v>5</v>
      </c>
      <c r="N25" s="12">
        <v>8</v>
      </c>
      <c r="O25" s="12">
        <v>12</v>
      </c>
      <c r="P25" s="12">
        <v>7</v>
      </c>
      <c r="Q25" s="12">
        <v>12</v>
      </c>
      <c r="R25" s="12">
        <v>1</v>
      </c>
      <c r="S25" s="12">
        <v>0</v>
      </c>
      <c r="T25" s="12">
        <v>2</v>
      </c>
      <c r="U25" s="12">
        <v>6</v>
      </c>
      <c r="V25" s="12">
        <v>11</v>
      </c>
      <c r="W25" s="12">
        <v>12</v>
      </c>
      <c r="X25" s="12">
        <v>6</v>
      </c>
      <c r="Y25" s="12"/>
      <c r="Z25" s="12"/>
      <c r="AA25" s="12"/>
      <c r="AB25" s="12"/>
      <c r="AC25" s="12"/>
      <c r="AD25" s="12"/>
      <c r="AE25" s="12"/>
      <c r="AF25" s="12"/>
      <c r="AG25" s="30">
        <f t="shared" si="5"/>
        <v>140</v>
      </c>
    </row>
    <row r="26" spans="1:33" ht="15" customHeight="1">
      <c r="B26" s="11" t="s">
        <v>21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/>
      <c r="Z26" s="12"/>
      <c r="AA26" s="12"/>
      <c r="AB26" s="12"/>
      <c r="AC26" s="12"/>
      <c r="AD26" s="12"/>
      <c r="AE26" s="12"/>
      <c r="AF26" s="12"/>
      <c r="AG26" s="30">
        <f t="shared" si="5"/>
        <v>0</v>
      </c>
    </row>
    <row r="27" spans="1:33" ht="15" customHeight="1">
      <c r="B27" s="11" t="s">
        <v>22</v>
      </c>
      <c r="C27" s="12">
        <v>5</v>
      </c>
      <c r="D27" s="12">
        <v>7</v>
      </c>
      <c r="E27" s="12">
        <v>2</v>
      </c>
      <c r="F27" s="12">
        <v>4</v>
      </c>
      <c r="G27" s="12">
        <v>5</v>
      </c>
      <c r="H27" s="12">
        <v>2</v>
      </c>
      <c r="I27" s="12">
        <v>5</v>
      </c>
      <c r="J27" s="12">
        <v>2</v>
      </c>
      <c r="K27" s="12">
        <v>10</v>
      </c>
      <c r="L27" s="12">
        <v>1</v>
      </c>
      <c r="M27" s="12">
        <v>4</v>
      </c>
      <c r="N27" s="12">
        <v>5</v>
      </c>
      <c r="O27" s="12">
        <v>5</v>
      </c>
      <c r="P27" s="12">
        <v>4</v>
      </c>
      <c r="Q27" s="12">
        <v>3</v>
      </c>
      <c r="R27" s="12">
        <v>3</v>
      </c>
      <c r="S27" s="12">
        <v>0</v>
      </c>
      <c r="T27" s="12">
        <v>8</v>
      </c>
      <c r="U27" s="12">
        <v>5</v>
      </c>
      <c r="V27" s="12">
        <v>2</v>
      </c>
      <c r="W27" s="12">
        <v>1</v>
      </c>
      <c r="X27" s="12">
        <v>1</v>
      </c>
      <c r="Y27" s="12"/>
      <c r="Z27" s="12"/>
      <c r="AA27" s="12"/>
      <c r="AB27" s="12"/>
      <c r="AC27" s="12"/>
      <c r="AD27" s="12"/>
      <c r="AE27" s="12"/>
      <c r="AF27" s="12"/>
      <c r="AG27" s="30">
        <f t="shared" si="5"/>
        <v>84</v>
      </c>
    </row>
    <row r="28" spans="1:33" ht="14.5" customHeight="1">
      <c r="B28" s="11" t="s">
        <v>23</v>
      </c>
      <c r="C28" s="12">
        <v>3</v>
      </c>
      <c r="D28" s="12">
        <v>5</v>
      </c>
      <c r="E28" s="12">
        <v>1</v>
      </c>
      <c r="F28" s="12">
        <v>1</v>
      </c>
      <c r="G28" s="12">
        <v>3</v>
      </c>
      <c r="H28" s="12">
        <v>0</v>
      </c>
      <c r="I28" s="12">
        <v>1</v>
      </c>
      <c r="J28" s="12">
        <v>4</v>
      </c>
      <c r="K28" s="12">
        <v>2</v>
      </c>
      <c r="L28" s="12">
        <v>1</v>
      </c>
      <c r="M28" s="12">
        <v>1</v>
      </c>
      <c r="N28" s="12">
        <v>4</v>
      </c>
      <c r="O28" s="12">
        <v>6</v>
      </c>
      <c r="P28" s="12">
        <v>3</v>
      </c>
      <c r="Q28" s="12">
        <v>2</v>
      </c>
      <c r="R28" s="12">
        <v>3</v>
      </c>
      <c r="S28" s="12">
        <v>0</v>
      </c>
      <c r="T28" s="12">
        <v>2</v>
      </c>
      <c r="U28" s="12">
        <v>2</v>
      </c>
      <c r="V28" s="12">
        <v>2</v>
      </c>
      <c r="W28" s="12">
        <v>4</v>
      </c>
      <c r="X28" s="12">
        <v>3</v>
      </c>
      <c r="Y28" s="12"/>
      <c r="Z28" s="12"/>
      <c r="AA28" s="12"/>
      <c r="AB28" s="12"/>
      <c r="AC28" s="12"/>
      <c r="AD28" s="12"/>
      <c r="AE28" s="12"/>
      <c r="AF28" s="12"/>
      <c r="AG28" s="30">
        <f t="shared" si="5"/>
        <v>53</v>
      </c>
    </row>
    <row r="29" spans="1:33" ht="15" customHeight="1">
      <c r="B29" s="11" t="s">
        <v>24</v>
      </c>
      <c r="C29" s="12">
        <v>2</v>
      </c>
      <c r="D29" s="12">
        <v>1</v>
      </c>
      <c r="E29" s="12">
        <v>1</v>
      </c>
      <c r="F29" s="12">
        <v>0</v>
      </c>
      <c r="G29" s="12">
        <v>5</v>
      </c>
      <c r="H29" s="12">
        <v>1</v>
      </c>
      <c r="I29" s="12">
        <v>8</v>
      </c>
      <c r="J29" s="12">
        <v>9</v>
      </c>
      <c r="K29" s="12">
        <v>8</v>
      </c>
      <c r="L29" s="12">
        <v>6</v>
      </c>
      <c r="M29" s="12">
        <v>1</v>
      </c>
      <c r="N29" s="12">
        <v>12</v>
      </c>
      <c r="O29" s="12">
        <v>1</v>
      </c>
      <c r="P29" s="12">
        <v>4</v>
      </c>
      <c r="Q29" s="12">
        <v>3</v>
      </c>
      <c r="R29" s="12">
        <v>5</v>
      </c>
      <c r="S29" s="12">
        <v>0</v>
      </c>
      <c r="T29" s="12">
        <v>2</v>
      </c>
      <c r="U29" s="12">
        <v>5</v>
      </c>
      <c r="V29" s="12">
        <v>5</v>
      </c>
      <c r="W29" s="12">
        <v>10</v>
      </c>
      <c r="X29" s="12">
        <v>2</v>
      </c>
      <c r="Y29" s="12"/>
      <c r="Z29" s="12"/>
      <c r="AA29" s="12"/>
      <c r="AB29" s="12"/>
      <c r="AC29" s="12"/>
      <c r="AD29" s="12"/>
      <c r="AE29" s="12"/>
      <c r="AF29" s="12"/>
      <c r="AG29" s="30">
        <f t="shared" si="5"/>
        <v>91</v>
      </c>
    </row>
    <row r="30" spans="1:33" ht="15" customHeight="1">
      <c r="B30" s="11" t="s">
        <v>25</v>
      </c>
      <c r="C30" s="12">
        <v>4</v>
      </c>
      <c r="D30" s="12">
        <v>0</v>
      </c>
      <c r="E30" s="12">
        <v>1</v>
      </c>
      <c r="F30" s="12">
        <v>2</v>
      </c>
      <c r="G30" s="12">
        <v>8</v>
      </c>
      <c r="H30" s="12">
        <v>6</v>
      </c>
      <c r="I30" s="12">
        <v>3</v>
      </c>
      <c r="J30" s="12">
        <v>2</v>
      </c>
      <c r="K30" s="12">
        <v>0</v>
      </c>
      <c r="L30" s="12">
        <v>1</v>
      </c>
      <c r="M30" s="12">
        <v>1</v>
      </c>
      <c r="N30" s="12">
        <v>0</v>
      </c>
      <c r="O30" s="12">
        <v>1</v>
      </c>
      <c r="P30" s="12">
        <v>3</v>
      </c>
      <c r="Q30" s="12">
        <v>0</v>
      </c>
      <c r="R30" s="12">
        <v>3</v>
      </c>
      <c r="S30" s="12">
        <v>0</v>
      </c>
      <c r="T30" s="12">
        <v>2</v>
      </c>
      <c r="U30" s="12">
        <v>3</v>
      </c>
      <c r="V30" s="12">
        <v>12</v>
      </c>
      <c r="W30" s="12">
        <v>2</v>
      </c>
      <c r="X30" s="12">
        <v>12</v>
      </c>
      <c r="Y30" s="12"/>
      <c r="Z30" s="12"/>
      <c r="AA30" s="12"/>
      <c r="AB30" s="12"/>
      <c r="AC30" s="12"/>
      <c r="AD30" s="12"/>
      <c r="AE30" s="12"/>
      <c r="AF30" s="12"/>
      <c r="AG30" s="30">
        <f t="shared" si="5"/>
        <v>66</v>
      </c>
    </row>
    <row r="31" spans="1:33" ht="15" customHeight="1">
      <c r="B31" s="11" t="s">
        <v>26</v>
      </c>
      <c r="C31" s="12">
        <v>3</v>
      </c>
      <c r="D31" s="12">
        <v>5</v>
      </c>
      <c r="E31" s="12">
        <v>4</v>
      </c>
      <c r="F31" s="12">
        <v>1</v>
      </c>
      <c r="G31" s="12">
        <v>0</v>
      </c>
      <c r="H31" s="12">
        <v>4</v>
      </c>
      <c r="I31" s="12">
        <v>7</v>
      </c>
      <c r="J31" s="12">
        <v>3</v>
      </c>
      <c r="K31" s="12">
        <v>4</v>
      </c>
      <c r="L31" s="12">
        <v>1</v>
      </c>
      <c r="M31" s="12">
        <v>1</v>
      </c>
      <c r="N31" s="12">
        <v>2</v>
      </c>
      <c r="O31" s="12">
        <v>6</v>
      </c>
      <c r="P31" s="12">
        <v>1</v>
      </c>
      <c r="Q31" s="12">
        <v>5</v>
      </c>
      <c r="R31" s="12">
        <v>2</v>
      </c>
      <c r="S31" s="12">
        <v>0</v>
      </c>
      <c r="T31" s="12">
        <v>4</v>
      </c>
      <c r="U31" s="12">
        <v>3</v>
      </c>
      <c r="V31" s="12">
        <v>1</v>
      </c>
      <c r="W31" s="12">
        <v>2</v>
      </c>
      <c r="X31" s="12">
        <v>2</v>
      </c>
      <c r="Y31" s="12"/>
      <c r="Z31" s="12"/>
      <c r="AA31" s="12"/>
      <c r="AB31" s="12"/>
      <c r="AC31" s="12"/>
      <c r="AD31" s="12"/>
      <c r="AE31" s="12"/>
      <c r="AF31" s="12"/>
      <c r="AG31" s="30">
        <f t="shared" si="5"/>
        <v>61</v>
      </c>
    </row>
    <row r="32" spans="1:33" ht="15" customHeight="1">
      <c r="B32" s="11" t="s">
        <v>27</v>
      </c>
      <c r="C32" s="12">
        <v>2</v>
      </c>
      <c r="D32" s="12">
        <v>3</v>
      </c>
      <c r="E32" s="12">
        <v>2</v>
      </c>
      <c r="F32" s="12">
        <v>3</v>
      </c>
      <c r="G32" s="12">
        <v>3</v>
      </c>
      <c r="H32" s="12">
        <v>3</v>
      </c>
      <c r="I32" s="12">
        <v>4</v>
      </c>
      <c r="J32" s="12">
        <v>0</v>
      </c>
      <c r="K32" s="12">
        <v>0</v>
      </c>
      <c r="L32" s="12">
        <v>0</v>
      </c>
      <c r="M32" s="12">
        <v>1</v>
      </c>
      <c r="N32" s="12">
        <v>2</v>
      </c>
      <c r="O32" s="12">
        <v>0</v>
      </c>
      <c r="P32" s="12">
        <v>2</v>
      </c>
      <c r="Q32" s="12">
        <v>0</v>
      </c>
      <c r="R32" s="12">
        <v>1</v>
      </c>
      <c r="S32" s="12">
        <v>0</v>
      </c>
      <c r="T32" s="12">
        <v>3</v>
      </c>
      <c r="U32" s="12">
        <v>0</v>
      </c>
      <c r="V32" s="12">
        <v>0</v>
      </c>
      <c r="W32" s="12">
        <v>2</v>
      </c>
      <c r="X32" s="12">
        <v>0</v>
      </c>
      <c r="Y32" s="12"/>
      <c r="Z32" s="12"/>
      <c r="AA32" s="12"/>
      <c r="AB32" s="12"/>
      <c r="AC32" s="12"/>
      <c r="AD32" s="12"/>
      <c r="AE32" s="12"/>
      <c r="AF32" s="12"/>
      <c r="AG32" s="30">
        <f t="shared" si="5"/>
        <v>31</v>
      </c>
    </row>
    <row r="33" spans="1:33" ht="15" customHeight="1">
      <c r="B33" s="11" t="s">
        <v>28</v>
      </c>
      <c r="C33" s="12">
        <v>15</v>
      </c>
      <c r="D33" s="12">
        <v>11</v>
      </c>
      <c r="E33" s="12">
        <v>14</v>
      </c>
      <c r="F33" s="12">
        <v>16</v>
      </c>
      <c r="G33" s="12">
        <v>26</v>
      </c>
      <c r="H33" s="12">
        <v>13</v>
      </c>
      <c r="I33" s="12">
        <v>11</v>
      </c>
      <c r="J33" s="12">
        <v>16</v>
      </c>
      <c r="K33" s="12">
        <v>14</v>
      </c>
      <c r="L33" s="12">
        <v>15</v>
      </c>
      <c r="M33" s="12">
        <v>7</v>
      </c>
      <c r="N33" s="12">
        <v>13</v>
      </c>
      <c r="O33" s="12">
        <v>4</v>
      </c>
      <c r="P33" s="12">
        <v>3</v>
      </c>
      <c r="Q33" s="12">
        <v>13</v>
      </c>
      <c r="R33" s="12">
        <v>3</v>
      </c>
      <c r="S33" s="12">
        <v>0</v>
      </c>
      <c r="T33" s="12">
        <v>9</v>
      </c>
      <c r="U33" s="12">
        <v>7</v>
      </c>
      <c r="V33" s="12">
        <v>6</v>
      </c>
      <c r="W33" s="12">
        <v>3</v>
      </c>
      <c r="X33" s="12">
        <v>10</v>
      </c>
      <c r="Y33" s="12"/>
      <c r="Z33" s="12"/>
      <c r="AA33" s="12"/>
      <c r="AB33" s="12"/>
      <c r="AC33" s="12"/>
      <c r="AD33" s="12"/>
      <c r="AE33" s="12"/>
      <c r="AF33" s="12"/>
      <c r="AG33" s="30">
        <f t="shared" si="5"/>
        <v>229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8"/>
      <c r="U35" s="28"/>
      <c r="V35" s="7"/>
    </row>
    <row r="36" spans="1:33" ht="15" customHeight="1">
      <c r="B36" s="46" t="s">
        <v>29</v>
      </c>
      <c r="C36" s="47"/>
      <c r="D36" s="4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v>2402</v>
      </c>
      <c r="D38" s="12">
        <v>2336</v>
      </c>
      <c r="E38" s="12">
        <v>2425</v>
      </c>
      <c r="F38" s="12">
        <v>2371</v>
      </c>
      <c r="G38" s="12">
        <v>2384</v>
      </c>
      <c r="H38" s="12">
        <v>2407</v>
      </c>
      <c r="I38" s="12">
        <v>2476</v>
      </c>
      <c r="J38" s="12">
        <v>2697</v>
      </c>
      <c r="K38" s="12">
        <v>2465</v>
      </c>
      <c r="L38" s="12">
        <v>2065</v>
      </c>
      <c r="M38" s="12">
        <v>2350</v>
      </c>
      <c r="N38" s="12">
        <v>2564</v>
      </c>
      <c r="O38" s="12">
        <v>2600</v>
      </c>
      <c r="P38" s="12">
        <v>2650</v>
      </c>
      <c r="Q38" s="12">
        <v>2670</v>
      </c>
      <c r="R38" s="12">
        <v>2390</v>
      </c>
      <c r="S38" s="12">
        <v>0</v>
      </c>
      <c r="T38" s="12">
        <v>2230</v>
      </c>
      <c r="U38" s="12">
        <v>2415</v>
      </c>
      <c r="V38" s="12">
        <v>2605</v>
      </c>
      <c r="W38" s="12">
        <v>2640</v>
      </c>
      <c r="X38" s="12">
        <v>2575</v>
      </c>
      <c r="Y38" s="12"/>
      <c r="Z38" s="12"/>
      <c r="AA38" s="12"/>
      <c r="AB38" s="12"/>
      <c r="AC38" s="34"/>
      <c r="AD38" s="12"/>
      <c r="AE38" s="12"/>
      <c r="AF38" s="12"/>
      <c r="AG38" s="30">
        <f>SUM(C38:AF38)</f>
        <v>51717</v>
      </c>
    </row>
    <row r="39" spans="1:33" ht="15" customHeight="1">
      <c r="B39" s="11" t="s">
        <v>4</v>
      </c>
      <c r="C39" s="18">
        <f>SUM(C41:C67)</f>
        <v>32</v>
      </c>
      <c r="D39" s="18">
        <f t="shared" ref="D39:AG39" si="6">SUM(D41:D67)</f>
        <v>13</v>
      </c>
      <c r="E39" s="18">
        <f t="shared" si="6"/>
        <v>19</v>
      </c>
      <c r="F39" s="18">
        <f t="shared" si="6"/>
        <v>12</v>
      </c>
      <c r="G39" s="18">
        <f t="shared" si="6"/>
        <v>17</v>
      </c>
      <c r="H39" s="18">
        <f t="shared" si="6"/>
        <v>8</v>
      </c>
      <c r="I39" s="18">
        <f t="shared" si="6"/>
        <v>10</v>
      </c>
      <c r="J39" s="18">
        <f t="shared" si="6"/>
        <v>17</v>
      </c>
      <c r="K39" s="18">
        <f t="shared" si="6"/>
        <v>18</v>
      </c>
      <c r="L39" s="18">
        <f t="shared" si="6"/>
        <v>15</v>
      </c>
      <c r="M39" s="18">
        <f t="shared" si="6"/>
        <v>17</v>
      </c>
      <c r="N39" s="18">
        <f t="shared" si="6"/>
        <v>17</v>
      </c>
      <c r="O39" s="18">
        <f t="shared" si="6"/>
        <v>22</v>
      </c>
      <c r="P39" s="18">
        <f t="shared" si="6"/>
        <v>23</v>
      </c>
      <c r="Q39" s="18">
        <f t="shared" si="6"/>
        <v>29</v>
      </c>
      <c r="R39" s="18">
        <f t="shared" si="6"/>
        <v>12</v>
      </c>
      <c r="S39" s="18">
        <f t="shared" si="6"/>
        <v>0</v>
      </c>
      <c r="T39" s="18">
        <f t="shared" si="6"/>
        <v>8</v>
      </c>
      <c r="U39" s="18">
        <f t="shared" si="6"/>
        <v>10</v>
      </c>
      <c r="V39" s="18">
        <f t="shared" si="6"/>
        <v>11</v>
      </c>
      <c r="W39" s="18">
        <f t="shared" si="6"/>
        <v>24</v>
      </c>
      <c r="X39" s="18">
        <f t="shared" si="6"/>
        <v>27</v>
      </c>
      <c r="Y39" s="18">
        <f t="shared" si="6"/>
        <v>0</v>
      </c>
      <c r="Z39" s="18">
        <f t="shared" si="6"/>
        <v>0</v>
      </c>
      <c r="AA39" s="18">
        <f t="shared" si="6"/>
        <v>0</v>
      </c>
      <c r="AB39" s="18">
        <f t="shared" si="6"/>
        <v>0</v>
      </c>
      <c r="AC39" s="18">
        <f t="shared" si="6"/>
        <v>0</v>
      </c>
      <c r="AD39" s="18">
        <f t="shared" si="6"/>
        <v>0</v>
      </c>
      <c r="AE39" s="18">
        <f t="shared" si="6"/>
        <v>0</v>
      </c>
      <c r="AF39" s="18">
        <f t="shared" si="6"/>
        <v>0</v>
      </c>
      <c r="AG39" s="12">
        <f t="shared" si="6"/>
        <v>361</v>
      </c>
    </row>
    <row r="40" spans="1:33" s="6" customFormat="1" ht="15" customHeight="1">
      <c r="A40" s="6" t="s">
        <v>15</v>
      </c>
      <c r="B40" s="19" t="s">
        <v>5</v>
      </c>
      <c r="C40" s="20">
        <f t="shared" ref="C40:AG40" si="7">IF(C38=0,0,(C39/C38))</f>
        <v>1.3322231473771857E-2</v>
      </c>
      <c r="D40" s="20">
        <f t="shared" si="7"/>
        <v>5.5650684931506846E-3</v>
      </c>
      <c r="E40" s="20">
        <f t="shared" si="7"/>
        <v>7.8350515463917522E-3</v>
      </c>
      <c r="F40" s="20">
        <f t="shared" si="7"/>
        <v>5.0611556305356388E-3</v>
      </c>
      <c r="G40" s="20">
        <f t="shared" si="7"/>
        <v>7.1308724832214766E-3</v>
      </c>
      <c r="H40" s="20">
        <f t="shared" si="7"/>
        <v>3.3236393851267137E-3</v>
      </c>
      <c r="I40" s="20">
        <f t="shared" si="7"/>
        <v>4.0387722132471729E-3</v>
      </c>
      <c r="J40" s="20">
        <f t="shared" si="7"/>
        <v>6.3032999629217649E-3</v>
      </c>
      <c r="K40" s="20">
        <f t="shared" si="7"/>
        <v>7.3022312373225151E-3</v>
      </c>
      <c r="L40" s="20">
        <f t="shared" si="7"/>
        <v>7.2639225181598066E-3</v>
      </c>
      <c r="M40" s="20">
        <f t="shared" si="7"/>
        <v>7.2340425531914896E-3</v>
      </c>
      <c r="N40" s="20">
        <f t="shared" si="7"/>
        <v>6.6302652106084246E-3</v>
      </c>
      <c r="O40" s="20">
        <f t="shared" si="7"/>
        <v>8.4615384615384613E-3</v>
      </c>
      <c r="P40" s="20">
        <f t="shared" si="7"/>
        <v>8.6792452830188674E-3</v>
      </c>
      <c r="Q40" s="20">
        <f t="shared" si="7"/>
        <v>1.0861423220973783E-2</v>
      </c>
      <c r="R40" s="20">
        <f t="shared" si="7"/>
        <v>5.0209205020920501E-3</v>
      </c>
      <c r="S40" s="20">
        <f t="shared" si="7"/>
        <v>0</v>
      </c>
      <c r="T40" s="20">
        <f t="shared" si="7"/>
        <v>3.5874439461883408E-3</v>
      </c>
      <c r="U40" s="20">
        <f t="shared" si="7"/>
        <v>4.140786749482402E-3</v>
      </c>
      <c r="V40" s="20">
        <f t="shared" si="7"/>
        <v>4.2226487523992322E-3</v>
      </c>
      <c r="W40" s="20">
        <f t="shared" si="7"/>
        <v>9.0909090909090905E-3</v>
      </c>
      <c r="X40" s="20">
        <f t="shared" si="7"/>
        <v>1.0485436893203883E-2</v>
      </c>
      <c r="Y40" s="20">
        <f t="shared" si="7"/>
        <v>0</v>
      </c>
      <c r="Z40" s="20">
        <f t="shared" si="7"/>
        <v>0</v>
      </c>
      <c r="AA40" s="20">
        <f t="shared" si="7"/>
        <v>0</v>
      </c>
      <c r="AB40" s="20">
        <f t="shared" si="7"/>
        <v>0</v>
      </c>
      <c r="AC40" s="20">
        <f t="shared" si="7"/>
        <v>0</v>
      </c>
      <c r="AD40" s="20">
        <f t="shared" si="7"/>
        <v>0</v>
      </c>
      <c r="AE40" s="20">
        <f t="shared" si="7"/>
        <v>0</v>
      </c>
      <c r="AF40" s="20">
        <f t="shared" si="7"/>
        <v>0</v>
      </c>
      <c r="AG40" s="14">
        <f t="shared" si="7"/>
        <v>6.9802966142661019E-3</v>
      </c>
    </row>
    <row r="41" spans="1:33" ht="15" customHeight="1">
      <c r="B41" s="9" t="s">
        <v>30</v>
      </c>
      <c r="C41" s="12">
        <v>25</v>
      </c>
      <c r="D41" s="12">
        <v>3</v>
      </c>
      <c r="E41" s="12">
        <v>4</v>
      </c>
      <c r="F41" s="12">
        <v>0</v>
      </c>
      <c r="G41" s="12">
        <v>3</v>
      </c>
      <c r="H41" s="12">
        <v>0</v>
      </c>
      <c r="I41" s="12">
        <v>4</v>
      </c>
      <c r="J41" s="12">
        <v>7</v>
      </c>
      <c r="K41" s="12">
        <v>4</v>
      </c>
      <c r="L41" s="12">
        <v>3</v>
      </c>
      <c r="M41" s="12">
        <v>3</v>
      </c>
      <c r="N41" s="12">
        <v>0</v>
      </c>
      <c r="O41" s="12">
        <v>2</v>
      </c>
      <c r="P41" s="12">
        <v>11</v>
      </c>
      <c r="Q41" s="12">
        <v>14</v>
      </c>
      <c r="R41" s="12">
        <v>2</v>
      </c>
      <c r="S41" s="12">
        <v>0</v>
      </c>
      <c r="T41" s="12">
        <v>2</v>
      </c>
      <c r="U41" s="12">
        <v>0</v>
      </c>
      <c r="V41" s="12">
        <v>1</v>
      </c>
      <c r="W41" s="12">
        <v>8</v>
      </c>
      <c r="X41" s="12">
        <v>16</v>
      </c>
      <c r="Y41" s="12"/>
      <c r="Z41" s="12"/>
      <c r="AA41" s="12"/>
      <c r="AB41" s="12"/>
      <c r="AC41" s="12"/>
      <c r="AD41" s="12"/>
      <c r="AE41" s="12"/>
      <c r="AF41" s="12"/>
      <c r="AG41" s="30">
        <f t="shared" ref="AG41:AG67" si="8">+SUM(C41:AF41)</f>
        <v>112</v>
      </c>
    </row>
    <row r="42" spans="1:33" ht="15" customHeight="1">
      <c r="B42" s="21" t="s">
        <v>31</v>
      </c>
      <c r="C42" s="12">
        <v>0</v>
      </c>
      <c r="D42" s="12">
        <v>0</v>
      </c>
      <c r="E42" s="12">
        <v>0</v>
      </c>
      <c r="F42" s="12">
        <v>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/>
      <c r="Z42" s="12"/>
      <c r="AA42" s="12"/>
      <c r="AB42" s="12"/>
      <c r="AC42" s="12"/>
      <c r="AD42" s="12"/>
      <c r="AE42" s="12"/>
      <c r="AF42" s="12"/>
      <c r="AG42" s="30">
        <f t="shared" si="8"/>
        <v>2</v>
      </c>
    </row>
    <row r="43" spans="1:33" ht="15" customHeight="1">
      <c r="B43" s="21" t="s">
        <v>32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2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1</v>
      </c>
      <c r="W43" s="12">
        <v>0</v>
      </c>
      <c r="X43" s="12">
        <v>1</v>
      </c>
      <c r="Y43" s="12"/>
      <c r="Z43" s="12"/>
      <c r="AA43" s="12"/>
      <c r="AB43" s="12"/>
      <c r="AC43" s="12"/>
      <c r="AD43" s="12"/>
      <c r="AE43" s="12"/>
      <c r="AF43" s="12"/>
      <c r="AG43" s="30">
        <f t="shared" si="8"/>
        <v>4</v>
      </c>
    </row>
    <row r="44" spans="1:33" ht="15" customHeight="1">
      <c r="B44" s="9" t="s">
        <v>17</v>
      </c>
      <c r="C44" s="12">
        <v>0</v>
      </c>
      <c r="D44" s="12">
        <v>1</v>
      </c>
      <c r="E44" s="12">
        <v>4</v>
      </c>
      <c r="F44" s="12">
        <v>4</v>
      </c>
      <c r="G44" s="12">
        <v>0</v>
      </c>
      <c r="H44" s="12">
        <v>0</v>
      </c>
      <c r="I44" s="12">
        <v>0</v>
      </c>
      <c r="J44" s="12">
        <v>1</v>
      </c>
      <c r="K44" s="12">
        <v>0</v>
      </c>
      <c r="L44" s="12">
        <v>0</v>
      </c>
      <c r="M44" s="12">
        <v>7</v>
      </c>
      <c r="N44" s="12">
        <v>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1</v>
      </c>
      <c r="V44" s="12">
        <v>0</v>
      </c>
      <c r="W44" s="12">
        <v>1</v>
      </c>
      <c r="X44" s="12">
        <v>1</v>
      </c>
      <c r="Y44" s="12"/>
      <c r="Z44" s="12"/>
      <c r="AA44" s="12"/>
      <c r="AB44" s="12"/>
      <c r="AC44" s="12"/>
      <c r="AD44" s="12"/>
      <c r="AE44" s="12"/>
      <c r="AF44" s="12"/>
      <c r="AG44" s="30">
        <f t="shared" si="8"/>
        <v>21</v>
      </c>
    </row>
    <row r="45" spans="1:33" ht="15" customHeight="1">
      <c r="B45" s="9" t="s">
        <v>33</v>
      </c>
      <c r="C45" s="12">
        <v>1</v>
      </c>
      <c r="D45" s="12">
        <v>2</v>
      </c>
      <c r="E45" s="12">
        <v>0</v>
      </c>
      <c r="F45" s="12">
        <v>1</v>
      </c>
      <c r="G45" s="12">
        <v>1</v>
      </c>
      <c r="H45" s="12">
        <v>2</v>
      </c>
      <c r="I45" s="12">
        <v>2</v>
      </c>
      <c r="J45" s="12">
        <v>2</v>
      </c>
      <c r="K45" s="12">
        <v>3</v>
      </c>
      <c r="L45" s="12">
        <v>1</v>
      </c>
      <c r="M45" s="12">
        <v>2</v>
      </c>
      <c r="N45" s="12">
        <v>0</v>
      </c>
      <c r="O45" s="12">
        <v>3</v>
      </c>
      <c r="P45" s="12">
        <v>6</v>
      </c>
      <c r="Q45" s="12">
        <v>4</v>
      </c>
      <c r="R45" s="12">
        <v>5</v>
      </c>
      <c r="S45" s="12">
        <v>0</v>
      </c>
      <c r="T45" s="12">
        <v>2</v>
      </c>
      <c r="U45" s="12">
        <v>1</v>
      </c>
      <c r="V45" s="12">
        <v>1</v>
      </c>
      <c r="W45" s="12">
        <v>2</v>
      </c>
      <c r="X45" s="12">
        <v>0</v>
      </c>
      <c r="Y45" s="12"/>
      <c r="Z45" s="12"/>
      <c r="AA45" s="29"/>
      <c r="AB45" s="29"/>
      <c r="AC45" s="29"/>
      <c r="AD45" s="12"/>
      <c r="AE45" s="29"/>
      <c r="AF45" s="29"/>
      <c r="AG45" s="30">
        <f t="shared" si="8"/>
        <v>41</v>
      </c>
    </row>
    <row r="46" spans="1:33" ht="15" customHeight="1">
      <c r="B46" s="9" t="s">
        <v>34</v>
      </c>
      <c r="C46" s="12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1</v>
      </c>
      <c r="R46" s="12">
        <v>0</v>
      </c>
      <c r="S46" s="12">
        <v>0</v>
      </c>
      <c r="T46" s="12">
        <v>1</v>
      </c>
      <c r="U46" s="12">
        <v>0</v>
      </c>
      <c r="V46" s="12">
        <v>0</v>
      </c>
      <c r="W46" s="12">
        <v>0</v>
      </c>
      <c r="X46" s="12">
        <v>0</v>
      </c>
      <c r="Y46" s="12"/>
      <c r="Z46" s="12"/>
      <c r="AA46" s="12"/>
      <c r="AB46" s="12"/>
      <c r="AC46" s="12"/>
      <c r="AD46" s="12"/>
      <c r="AE46" s="12"/>
      <c r="AF46" s="12"/>
      <c r="AG46" s="30">
        <f t="shared" si="8"/>
        <v>4</v>
      </c>
    </row>
    <row r="47" spans="1:33" ht="15" customHeight="1">
      <c r="B47" s="11" t="s">
        <v>20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/>
      <c r="Z47" s="12"/>
      <c r="AA47" s="12"/>
      <c r="AB47" s="12"/>
      <c r="AC47" s="12"/>
      <c r="AD47" s="12"/>
      <c r="AE47" s="12"/>
      <c r="AF47" s="12"/>
      <c r="AG47" s="30">
        <f t="shared" si="8"/>
        <v>0</v>
      </c>
    </row>
    <row r="48" spans="1:33" ht="15" customHeight="1">
      <c r="B48" s="9" t="s">
        <v>35</v>
      </c>
      <c r="C48" s="12">
        <v>0</v>
      </c>
      <c r="D48" s="12">
        <v>2</v>
      </c>
      <c r="E48" s="12">
        <v>0</v>
      </c>
      <c r="F48" s="12">
        <v>2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2</v>
      </c>
      <c r="V48" s="12">
        <v>0</v>
      </c>
      <c r="W48" s="12">
        <v>0</v>
      </c>
      <c r="X48" s="12">
        <v>0</v>
      </c>
      <c r="Y48" s="12"/>
      <c r="Z48" s="12"/>
      <c r="AA48" s="12"/>
      <c r="AB48" s="12"/>
      <c r="AC48" s="12"/>
      <c r="AD48" s="12"/>
      <c r="AE48" s="12"/>
      <c r="AF48" s="12"/>
      <c r="AG48" s="30">
        <f t="shared" si="8"/>
        <v>6</v>
      </c>
    </row>
    <row r="49" spans="2:33" ht="15" customHeight="1">
      <c r="B49" s="9" t="s">
        <v>28</v>
      </c>
      <c r="C49" s="12">
        <v>1</v>
      </c>
      <c r="D49" s="12">
        <v>1</v>
      </c>
      <c r="E49" s="12">
        <v>4</v>
      </c>
      <c r="F49" s="12">
        <v>2</v>
      </c>
      <c r="G49" s="12">
        <v>5</v>
      </c>
      <c r="H49" s="12">
        <v>1</v>
      </c>
      <c r="I49" s="12">
        <v>1</v>
      </c>
      <c r="J49" s="12">
        <v>2</v>
      </c>
      <c r="K49" s="12">
        <v>2</v>
      </c>
      <c r="L49" s="12">
        <v>1</v>
      </c>
      <c r="M49" s="12">
        <v>1</v>
      </c>
      <c r="N49" s="12">
        <v>13</v>
      </c>
      <c r="O49" s="12">
        <v>15</v>
      </c>
      <c r="P49" s="12">
        <v>1</v>
      </c>
      <c r="Q49" s="12">
        <v>2</v>
      </c>
      <c r="R49" s="12">
        <v>0</v>
      </c>
      <c r="S49" s="12">
        <v>0</v>
      </c>
      <c r="T49" s="12">
        <v>0</v>
      </c>
      <c r="U49" s="12">
        <v>3</v>
      </c>
      <c r="V49" s="12">
        <v>1</v>
      </c>
      <c r="W49" s="12">
        <v>9</v>
      </c>
      <c r="X49" s="12">
        <v>1</v>
      </c>
      <c r="Y49" s="12"/>
      <c r="Z49" s="12"/>
      <c r="AA49" s="12"/>
      <c r="AB49" s="12"/>
      <c r="AC49" s="12"/>
      <c r="AD49" s="12"/>
      <c r="AE49" s="12"/>
      <c r="AF49" s="12"/>
      <c r="AG49" s="30">
        <f t="shared" si="8"/>
        <v>66</v>
      </c>
    </row>
    <row r="50" spans="2:33" ht="15" customHeight="1">
      <c r="B50" s="9" t="s">
        <v>86</v>
      </c>
      <c r="C50" s="12">
        <v>1</v>
      </c>
      <c r="D50" s="12">
        <v>0</v>
      </c>
      <c r="E50" s="12">
        <v>0</v>
      </c>
      <c r="F50" s="12">
        <v>0</v>
      </c>
      <c r="G50" s="12">
        <v>1</v>
      </c>
      <c r="H50" s="12">
        <v>0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1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1</v>
      </c>
      <c r="Y50" s="12"/>
      <c r="Z50" s="12"/>
      <c r="AA50" s="12"/>
      <c r="AB50" s="12"/>
      <c r="AC50" s="12"/>
      <c r="AD50" s="12"/>
      <c r="AE50" s="12"/>
      <c r="AF50" s="12"/>
      <c r="AG50" s="30">
        <f t="shared" si="8"/>
        <v>6</v>
      </c>
    </row>
    <row r="51" spans="2:33" ht="15" customHeight="1">
      <c r="B51" s="9" t="s">
        <v>37</v>
      </c>
      <c r="C51" s="12">
        <v>0</v>
      </c>
      <c r="D51" s="12">
        <v>0</v>
      </c>
      <c r="E51" s="12">
        <v>0</v>
      </c>
      <c r="F51" s="12">
        <v>0</v>
      </c>
      <c r="G51" s="12">
        <v>1</v>
      </c>
      <c r="H51" s="12">
        <v>0</v>
      </c>
      <c r="I51" s="12">
        <v>1</v>
      </c>
      <c r="J51" s="12">
        <v>0</v>
      </c>
      <c r="K51" s="12">
        <v>0</v>
      </c>
      <c r="L51" s="12">
        <v>1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/>
      <c r="Z51" s="12"/>
      <c r="AA51" s="12"/>
      <c r="AB51" s="12"/>
      <c r="AC51" s="12"/>
      <c r="AD51" s="12"/>
      <c r="AE51" s="12"/>
      <c r="AF51" s="12"/>
      <c r="AG51" s="30">
        <f t="shared" si="8"/>
        <v>3</v>
      </c>
    </row>
    <row r="52" spans="2:33" ht="15" customHeight="1">
      <c r="B52" s="9" t="s">
        <v>38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3</v>
      </c>
      <c r="V52" s="12">
        <v>0</v>
      </c>
      <c r="W52" s="12">
        <v>0</v>
      </c>
      <c r="X52" s="12">
        <v>0</v>
      </c>
      <c r="Y52" s="12"/>
      <c r="Z52" s="12"/>
      <c r="AA52" s="12"/>
      <c r="AB52" s="12"/>
      <c r="AC52" s="12"/>
      <c r="AD52" s="12"/>
      <c r="AE52" s="12"/>
      <c r="AF52" s="12"/>
      <c r="AG52" s="30">
        <f t="shared" si="8"/>
        <v>4</v>
      </c>
    </row>
    <row r="53" spans="2:33" ht="15" customHeight="1">
      <c r="B53" s="9" t="s">
        <v>39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/>
      <c r="Z53" s="12"/>
      <c r="AA53" s="12"/>
      <c r="AB53" s="12"/>
      <c r="AC53" s="12"/>
      <c r="AD53" s="12"/>
      <c r="AE53" s="12"/>
      <c r="AF53" s="12"/>
      <c r="AG53" s="30">
        <f t="shared" si="8"/>
        <v>0</v>
      </c>
    </row>
    <row r="54" spans="2:33" ht="15" customHeight="1">
      <c r="B54" s="9" t="s">
        <v>22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1</v>
      </c>
      <c r="I54" s="12">
        <v>0</v>
      </c>
      <c r="J54" s="12">
        <v>0</v>
      </c>
      <c r="K54" s="12">
        <v>1</v>
      </c>
      <c r="L54" s="12">
        <v>2</v>
      </c>
      <c r="M54" s="12">
        <v>0</v>
      </c>
      <c r="N54" s="12">
        <v>0</v>
      </c>
      <c r="O54" s="12">
        <v>0</v>
      </c>
      <c r="P54" s="12">
        <v>2</v>
      </c>
      <c r="Q54" s="12">
        <v>0</v>
      </c>
      <c r="R54" s="12">
        <v>1</v>
      </c>
      <c r="S54" s="12">
        <v>0</v>
      </c>
      <c r="T54" s="12">
        <v>1</v>
      </c>
      <c r="U54" s="12">
        <v>0</v>
      </c>
      <c r="V54" s="12">
        <v>0</v>
      </c>
      <c r="W54" s="12">
        <v>1</v>
      </c>
      <c r="X54" s="12">
        <v>1</v>
      </c>
      <c r="Y54" s="12"/>
      <c r="Z54" s="12"/>
      <c r="AA54" s="12"/>
      <c r="AB54" s="12"/>
      <c r="AC54" s="12"/>
      <c r="AD54" s="12"/>
      <c r="AE54" s="12"/>
      <c r="AF54" s="12"/>
      <c r="AG54" s="30">
        <f t="shared" si="8"/>
        <v>10</v>
      </c>
    </row>
    <row r="55" spans="2:33" ht="15" customHeight="1">
      <c r="B55" s="9" t="s">
        <v>40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/>
      <c r="Z55" s="12"/>
      <c r="AA55" s="12"/>
      <c r="AB55" s="12"/>
      <c r="AC55" s="12"/>
      <c r="AD55" s="12"/>
      <c r="AE55" s="12"/>
      <c r="AF55" s="12"/>
      <c r="AG55" s="30">
        <f t="shared" si="8"/>
        <v>0</v>
      </c>
    </row>
    <row r="56" spans="2:33" ht="15" customHeight="1">
      <c r="B56" s="9" t="s">
        <v>24</v>
      </c>
      <c r="C56" s="12">
        <v>0</v>
      </c>
      <c r="D56" s="12">
        <v>0</v>
      </c>
      <c r="E56" s="12">
        <v>0</v>
      </c>
      <c r="F56" s="12">
        <v>0</v>
      </c>
      <c r="G56" s="12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</v>
      </c>
      <c r="Y56" s="12"/>
      <c r="Z56" s="12"/>
      <c r="AA56" s="12"/>
      <c r="AB56" s="12"/>
      <c r="AC56" s="12"/>
      <c r="AD56" s="12"/>
      <c r="AE56" s="12"/>
      <c r="AF56" s="12"/>
      <c r="AG56" s="30">
        <f t="shared" si="8"/>
        <v>3</v>
      </c>
    </row>
    <row r="57" spans="2:33" ht="15" customHeight="1">
      <c r="B57" s="9" t="s">
        <v>41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/>
      <c r="Z57" s="12"/>
      <c r="AA57" s="12"/>
      <c r="AB57" s="12"/>
      <c r="AC57" s="12"/>
      <c r="AD57" s="12"/>
      <c r="AE57" s="12"/>
      <c r="AF57" s="12"/>
      <c r="AG57" s="30">
        <f t="shared" si="8"/>
        <v>0</v>
      </c>
    </row>
    <row r="58" spans="2:33" ht="15" customHeight="1">
      <c r="B58" s="9" t="s">
        <v>42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/>
      <c r="Z58" s="12"/>
      <c r="AA58" s="12"/>
      <c r="AB58" s="12"/>
      <c r="AC58" s="12"/>
      <c r="AD58" s="12"/>
      <c r="AE58" s="12"/>
      <c r="AF58" s="12"/>
      <c r="AG58" s="30">
        <f t="shared" si="8"/>
        <v>0</v>
      </c>
    </row>
    <row r="59" spans="2:33" ht="15" customHeight="1">
      <c r="B59" s="9" t="s">
        <v>19</v>
      </c>
      <c r="C59" s="12">
        <v>0</v>
      </c>
      <c r="D59" s="12">
        <v>1</v>
      </c>
      <c r="E59" s="12">
        <v>2</v>
      </c>
      <c r="F59" s="12">
        <v>0</v>
      </c>
      <c r="G59" s="12">
        <v>1</v>
      </c>
      <c r="H59" s="12">
        <v>0</v>
      </c>
      <c r="I59" s="12">
        <v>0</v>
      </c>
      <c r="J59" s="12">
        <v>1</v>
      </c>
      <c r="K59" s="12">
        <v>1</v>
      </c>
      <c r="L59" s="12">
        <v>1</v>
      </c>
      <c r="M59" s="12">
        <v>0</v>
      </c>
      <c r="N59" s="12">
        <v>0</v>
      </c>
      <c r="O59" s="12">
        <v>1</v>
      </c>
      <c r="P59" s="12">
        <v>0</v>
      </c>
      <c r="Q59" s="12">
        <v>0</v>
      </c>
      <c r="R59" s="12">
        <v>1</v>
      </c>
      <c r="S59" s="12">
        <v>0</v>
      </c>
      <c r="T59" s="12">
        <v>0</v>
      </c>
      <c r="U59" s="12">
        <v>0</v>
      </c>
      <c r="V59" s="12">
        <v>1</v>
      </c>
      <c r="W59" s="12">
        <v>0</v>
      </c>
      <c r="X59" s="12">
        <v>0</v>
      </c>
      <c r="Y59" s="12"/>
      <c r="Z59" s="12"/>
      <c r="AA59" s="12"/>
      <c r="AB59" s="12"/>
      <c r="AC59" s="12"/>
      <c r="AD59" s="12"/>
      <c r="AE59" s="12"/>
      <c r="AF59" s="12"/>
      <c r="AG59" s="30">
        <f t="shared" si="8"/>
        <v>10</v>
      </c>
    </row>
    <row r="60" spans="2:33" ht="15" customHeight="1">
      <c r="B60" s="21" t="s">
        <v>12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/>
      <c r="Z60" s="12"/>
      <c r="AA60" s="12"/>
      <c r="AB60" s="12"/>
      <c r="AC60" s="12"/>
      <c r="AD60" s="12"/>
      <c r="AE60" s="12"/>
      <c r="AF60" s="12"/>
      <c r="AG60" s="30">
        <f t="shared" si="8"/>
        <v>0</v>
      </c>
    </row>
    <row r="61" spans="2:33" ht="15" customHeight="1">
      <c r="B61" s="9" t="s">
        <v>43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/>
      <c r="Z61" s="12"/>
      <c r="AA61" s="12"/>
      <c r="AB61" s="12"/>
      <c r="AC61" s="12"/>
      <c r="AD61" s="12"/>
      <c r="AE61" s="12"/>
      <c r="AF61" s="12"/>
      <c r="AG61" s="30">
        <f t="shared" si="8"/>
        <v>0</v>
      </c>
    </row>
    <row r="62" spans="2:33" ht="15" customHeight="1">
      <c r="B62" s="9" t="s">
        <v>44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/>
      <c r="Z62" s="12"/>
      <c r="AA62" s="12"/>
      <c r="AB62" s="12"/>
      <c r="AC62" s="12"/>
      <c r="AD62" s="12"/>
      <c r="AE62" s="12"/>
      <c r="AF62" s="12"/>
      <c r="AG62" s="30">
        <f t="shared" si="8"/>
        <v>0</v>
      </c>
    </row>
    <row r="63" spans="2:33" ht="15" customHeight="1">
      <c r="B63" s="9" t="s">
        <v>26</v>
      </c>
      <c r="C63" s="12">
        <v>2</v>
      </c>
      <c r="D63" s="12">
        <v>0</v>
      </c>
      <c r="E63" s="12">
        <v>3</v>
      </c>
      <c r="F63" s="12">
        <v>1</v>
      </c>
      <c r="G63" s="12">
        <v>0</v>
      </c>
      <c r="H63" s="12">
        <v>1</v>
      </c>
      <c r="I63" s="12">
        <v>0</v>
      </c>
      <c r="J63" s="12">
        <v>0</v>
      </c>
      <c r="K63" s="12">
        <v>1</v>
      </c>
      <c r="L63" s="12">
        <v>1</v>
      </c>
      <c r="M63" s="12">
        <v>0</v>
      </c>
      <c r="N63" s="12">
        <v>0</v>
      </c>
      <c r="O63" s="12">
        <v>0</v>
      </c>
      <c r="P63" s="12">
        <v>1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1</v>
      </c>
      <c r="W63" s="12">
        <v>0</v>
      </c>
      <c r="X63" s="12">
        <v>2</v>
      </c>
      <c r="Y63" s="12"/>
      <c r="Z63" s="12"/>
      <c r="AA63" s="12"/>
      <c r="AB63" s="12"/>
      <c r="AC63" s="12"/>
      <c r="AD63" s="12"/>
      <c r="AE63" s="12"/>
      <c r="AF63" s="12"/>
      <c r="AG63" s="30">
        <f t="shared" si="8"/>
        <v>13</v>
      </c>
    </row>
    <row r="64" spans="2:33" ht="15" customHeight="1">
      <c r="B64" s="21" t="s">
        <v>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0</v>
      </c>
      <c r="Q64" s="12">
        <v>1</v>
      </c>
      <c r="R64" s="12">
        <v>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/>
      <c r="Z64" s="12"/>
      <c r="AA64" s="12"/>
      <c r="AB64" s="12"/>
      <c r="AC64" s="12"/>
      <c r="AD64" s="12"/>
      <c r="AE64" s="12"/>
      <c r="AF64" s="12"/>
      <c r="AG64" s="30">
        <f t="shared" si="8"/>
        <v>3</v>
      </c>
    </row>
    <row r="65" spans="1:33" ht="15" customHeight="1">
      <c r="B65" s="21" t="s">
        <v>45</v>
      </c>
      <c r="C65" s="12">
        <v>0</v>
      </c>
      <c r="D65" s="12">
        <v>1</v>
      </c>
      <c r="E65" s="12">
        <v>1</v>
      </c>
      <c r="F65" s="12">
        <v>0</v>
      </c>
      <c r="G65" s="12">
        <v>3</v>
      </c>
      <c r="H65" s="12">
        <v>1</v>
      </c>
      <c r="I65" s="12">
        <v>1</v>
      </c>
      <c r="J65" s="12">
        <v>0</v>
      </c>
      <c r="K65" s="12">
        <v>0</v>
      </c>
      <c r="L65" s="12">
        <v>3</v>
      </c>
      <c r="M65" s="12">
        <v>1</v>
      </c>
      <c r="N65" s="12">
        <v>1</v>
      </c>
      <c r="O65" s="12">
        <v>0</v>
      </c>
      <c r="P65" s="12">
        <v>1</v>
      </c>
      <c r="Q65" s="12">
        <v>2</v>
      </c>
      <c r="R65" s="12">
        <v>1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/>
      <c r="Z65" s="12"/>
      <c r="AA65" s="12"/>
      <c r="AB65" s="12"/>
      <c r="AC65" s="12"/>
      <c r="AD65" s="12"/>
      <c r="AE65" s="12"/>
      <c r="AF65" s="12"/>
      <c r="AG65" s="30">
        <f t="shared" si="8"/>
        <v>16</v>
      </c>
    </row>
    <row r="66" spans="1:33" ht="15" customHeight="1">
      <c r="B66" s="9" t="s">
        <v>27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1</v>
      </c>
      <c r="I66" s="12">
        <v>0</v>
      </c>
      <c r="J66" s="12">
        <v>0</v>
      </c>
      <c r="K66" s="12">
        <v>1</v>
      </c>
      <c r="L66" s="12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/>
      <c r="Z66" s="12"/>
      <c r="AA66" s="12"/>
      <c r="AB66" s="12"/>
      <c r="AC66" s="12"/>
      <c r="AD66" s="12"/>
      <c r="AE66" s="12"/>
      <c r="AF66" s="12"/>
      <c r="AG66" s="30">
        <f t="shared" si="8"/>
        <v>3</v>
      </c>
    </row>
    <row r="67" spans="1:33" ht="15" customHeight="1">
      <c r="B67" s="9" t="s">
        <v>16</v>
      </c>
      <c r="C67" s="12">
        <v>1</v>
      </c>
      <c r="D67" s="12">
        <v>2</v>
      </c>
      <c r="E67" s="12">
        <v>1</v>
      </c>
      <c r="F67" s="12">
        <v>0</v>
      </c>
      <c r="G67" s="12">
        <v>1</v>
      </c>
      <c r="H67" s="12">
        <v>1</v>
      </c>
      <c r="I67" s="12">
        <v>0</v>
      </c>
      <c r="J67" s="12">
        <v>3</v>
      </c>
      <c r="K67" s="12">
        <v>3</v>
      </c>
      <c r="L67" s="12">
        <v>1</v>
      </c>
      <c r="M67" s="12">
        <v>1</v>
      </c>
      <c r="N67" s="12">
        <v>1</v>
      </c>
      <c r="O67" s="12">
        <v>0</v>
      </c>
      <c r="P67" s="12">
        <v>1</v>
      </c>
      <c r="Q67" s="12">
        <v>4</v>
      </c>
      <c r="R67" s="12">
        <v>1</v>
      </c>
      <c r="S67" s="12">
        <v>0</v>
      </c>
      <c r="T67" s="12">
        <v>2</v>
      </c>
      <c r="U67" s="12">
        <v>0</v>
      </c>
      <c r="V67" s="12">
        <v>5</v>
      </c>
      <c r="W67" s="12">
        <v>3</v>
      </c>
      <c r="X67" s="12">
        <v>3</v>
      </c>
      <c r="Y67" s="12"/>
      <c r="Z67" s="12"/>
      <c r="AA67" s="29"/>
      <c r="AB67" s="29"/>
      <c r="AC67" s="29"/>
      <c r="AD67" s="29"/>
      <c r="AE67" s="29"/>
      <c r="AF67" s="29"/>
      <c r="AG67" s="30">
        <f t="shared" si="8"/>
        <v>34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70" spans="1:33" ht="15" customHeight="1">
      <c r="B70" s="49" t="s">
        <v>46</v>
      </c>
      <c r="C70" s="49"/>
      <c r="D70" s="49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34">
        <v>2429</v>
      </c>
      <c r="D72" s="34">
        <v>2389</v>
      </c>
      <c r="E72" s="34">
        <v>2383</v>
      </c>
      <c r="F72" s="34">
        <v>2357</v>
      </c>
      <c r="G72" s="34">
        <v>2217</v>
      </c>
      <c r="H72" s="34">
        <v>2467</v>
      </c>
      <c r="I72" s="34">
        <v>2451</v>
      </c>
      <c r="J72" s="34">
        <v>2691</v>
      </c>
      <c r="K72" s="34">
        <v>2493</v>
      </c>
      <c r="L72" s="34">
        <v>2552</v>
      </c>
      <c r="M72" s="34">
        <v>1850</v>
      </c>
      <c r="N72" s="34">
        <v>2616</v>
      </c>
      <c r="O72" s="34">
        <v>2530</v>
      </c>
      <c r="P72" s="12">
        <v>2581</v>
      </c>
      <c r="Q72" s="34">
        <v>2515</v>
      </c>
      <c r="R72" s="34">
        <v>2621</v>
      </c>
      <c r="S72" s="34">
        <v>0</v>
      </c>
      <c r="T72" s="34">
        <v>2218</v>
      </c>
      <c r="U72" s="12">
        <v>2345</v>
      </c>
      <c r="V72" s="34">
        <v>2641</v>
      </c>
      <c r="W72" s="34">
        <v>2612</v>
      </c>
      <c r="X72" s="34">
        <v>2588</v>
      </c>
      <c r="Y72" s="34"/>
      <c r="Z72" s="34"/>
      <c r="AA72" s="12"/>
      <c r="AB72" s="34"/>
      <c r="AC72" s="34"/>
      <c r="AD72" s="34"/>
      <c r="AE72" s="34"/>
      <c r="AF72" s="34"/>
      <c r="AG72" s="30">
        <f>+SUM(C72:AF72)</f>
        <v>51546</v>
      </c>
    </row>
    <row r="73" spans="1:33" ht="15" customHeight="1">
      <c r="B73" s="11" t="s">
        <v>4</v>
      </c>
      <c r="C73" s="12">
        <f t="shared" ref="C73:AF73" si="9">+SUM(C75:C116)</f>
        <v>38</v>
      </c>
      <c r="D73" s="12">
        <f t="shared" si="9"/>
        <v>38</v>
      </c>
      <c r="E73" s="12">
        <f t="shared" si="9"/>
        <v>31</v>
      </c>
      <c r="F73" s="12">
        <f t="shared" si="9"/>
        <v>43</v>
      </c>
      <c r="G73" s="12">
        <f t="shared" si="9"/>
        <v>22</v>
      </c>
      <c r="H73" s="12">
        <f t="shared" si="9"/>
        <v>28</v>
      </c>
      <c r="I73" s="12">
        <f t="shared" si="9"/>
        <v>28</v>
      </c>
      <c r="J73" s="12">
        <f t="shared" si="9"/>
        <v>29</v>
      </c>
      <c r="K73" s="12">
        <f t="shared" si="9"/>
        <v>30</v>
      </c>
      <c r="L73" s="12">
        <f t="shared" si="9"/>
        <v>30</v>
      </c>
      <c r="M73" s="12">
        <f t="shared" si="9"/>
        <v>30</v>
      </c>
      <c r="N73" s="12">
        <f t="shared" si="9"/>
        <v>25</v>
      </c>
      <c r="O73" s="12">
        <f t="shared" si="9"/>
        <v>31</v>
      </c>
      <c r="P73" s="12">
        <f t="shared" si="9"/>
        <v>38</v>
      </c>
      <c r="Q73" s="12">
        <f t="shared" si="9"/>
        <v>15</v>
      </c>
      <c r="R73" s="12">
        <f t="shared" si="9"/>
        <v>51</v>
      </c>
      <c r="S73" s="12">
        <f t="shared" si="9"/>
        <v>0</v>
      </c>
      <c r="T73" s="12">
        <f t="shared" si="9"/>
        <v>7</v>
      </c>
      <c r="U73" s="12">
        <f t="shared" si="9"/>
        <v>39</v>
      </c>
      <c r="V73" s="12">
        <f t="shared" si="9"/>
        <v>22</v>
      </c>
      <c r="W73" s="12">
        <f t="shared" si="9"/>
        <v>23</v>
      </c>
      <c r="X73" s="12">
        <f t="shared" si="9"/>
        <v>38</v>
      </c>
      <c r="Y73" s="12">
        <f t="shared" si="9"/>
        <v>0</v>
      </c>
      <c r="Z73" s="12">
        <f t="shared" si="9"/>
        <v>0</v>
      </c>
      <c r="AA73" s="12">
        <f t="shared" si="9"/>
        <v>0</v>
      </c>
      <c r="AB73" s="12">
        <f t="shared" si="9"/>
        <v>0</v>
      </c>
      <c r="AC73" s="12">
        <f t="shared" si="9"/>
        <v>0</v>
      </c>
      <c r="AD73" s="12">
        <f t="shared" si="9"/>
        <v>0</v>
      </c>
      <c r="AE73" s="12">
        <f t="shared" si="9"/>
        <v>0</v>
      </c>
      <c r="AF73" s="12">
        <f t="shared" si="9"/>
        <v>0</v>
      </c>
      <c r="AG73" s="30">
        <f>SUM(AG75:AG116)</f>
        <v>636</v>
      </c>
    </row>
    <row r="74" spans="1:33" s="6" customFormat="1" ht="15" customHeight="1">
      <c r="A74" s="6" t="s">
        <v>15</v>
      </c>
      <c r="B74" s="19" t="s">
        <v>5</v>
      </c>
      <c r="C74" s="20">
        <f t="shared" ref="C74:AG74" si="10">IF(C72=0,0,(C73/C72))</f>
        <v>1.5644298065047343E-2</v>
      </c>
      <c r="D74" s="20">
        <f t="shared" si="10"/>
        <v>1.5906236919213061E-2</v>
      </c>
      <c r="E74" s="20">
        <f t="shared" si="10"/>
        <v>1.3008812421317666E-2</v>
      </c>
      <c r="F74" s="20">
        <f t="shared" si="10"/>
        <v>1.8243529910903691E-2</v>
      </c>
      <c r="G74" s="20">
        <f t="shared" si="10"/>
        <v>9.9233198015336033E-3</v>
      </c>
      <c r="H74" s="20">
        <f t="shared" si="10"/>
        <v>1.1349817592217268E-2</v>
      </c>
      <c r="I74" s="20">
        <f t="shared" si="10"/>
        <v>1.142390860873113E-2</v>
      </c>
      <c r="J74" s="20">
        <f t="shared" si="10"/>
        <v>1.0776662950575994E-2</v>
      </c>
      <c r="K74" s="20">
        <f t="shared" si="10"/>
        <v>1.2033694344163659E-2</v>
      </c>
      <c r="L74" s="20">
        <f t="shared" si="10"/>
        <v>1.1755485893416929E-2</v>
      </c>
      <c r="M74" s="20">
        <f t="shared" si="10"/>
        <v>1.6216216216216217E-2</v>
      </c>
      <c r="N74" s="20">
        <f t="shared" si="10"/>
        <v>9.5565749235474E-3</v>
      </c>
      <c r="O74" s="20">
        <f t="shared" si="10"/>
        <v>1.2252964426877471E-2</v>
      </c>
      <c r="P74" s="20">
        <f t="shared" si="10"/>
        <v>1.4722975590856257E-2</v>
      </c>
      <c r="Q74" s="20">
        <f t="shared" si="10"/>
        <v>5.9642147117296221E-3</v>
      </c>
      <c r="R74" s="20">
        <f t="shared" si="10"/>
        <v>1.9458222052651658E-2</v>
      </c>
      <c r="S74" s="20">
        <f t="shared" si="10"/>
        <v>0</v>
      </c>
      <c r="T74" s="20">
        <f t="shared" si="10"/>
        <v>3.1559963931469793E-3</v>
      </c>
      <c r="U74" s="20">
        <f t="shared" si="10"/>
        <v>1.6631130063965886E-2</v>
      </c>
      <c r="V74" s="20">
        <f t="shared" si="10"/>
        <v>8.330177962892843E-3</v>
      </c>
      <c r="W74" s="20">
        <f t="shared" si="10"/>
        <v>8.8055130168453299E-3</v>
      </c>
      <c r="X74" s="20">
        <f t="shared" si="10"/>
        <v>1.4683153013910355E-2</v>
      </c>
      <c r="Y74" s="20">
        <f t="shared" si="10"/>
        <v>0</v>
      </c>
      <c r="Z74" s="20">
        <f t="shared" si="10"/>
        <v>0</v>
      </c>
      <c r="AA74" s="20">
        <f t="shared" si="10"/>
        <v>0</v>
      </c>
      <c r="AB74" s="20">
        <f t="shared" si="10"/>
        <v>0</v>
      </c>
      <c r="AC74" s="20">
        <f t="shared" si="10"/>
        <v>0</v>
      </c>
      <c r="AD74" s="20">
        <f t="shared" si="10"/>
        <v>0</v>
      </c>
      <c r="AE74" s="20">
        <f t="shared" si="10"/>
        <v>0</v>
      </c>
      <c r="AF74" s="20">
        <f t="shared" si="10"/>
        <v>0</v>
      </c>
      <c r="AG74" s="20">
        <f t="shared" si="10"/>
        <v>1.2338493772552672E-2</v>
      </c>
    </row>
    <row r="75" spans="1:33" ht="15" customHeight="1">
      <c r="B75" s="21" t="s">
        <v>30</v>
      </c>
      <c r="C75" s="12">
        <v>27</v>
      </c>
      <c r="D75" s="12">
        <v>33</v>
      </c>
      <c r="E75" s="12">
        <v>24</v>
      </c>
      <c r="F75" s="12">
        <v>21</v>
      </c>
      <c r="G75" s="12">
        <v>7</v>
      </c>
      <c r="H75" s="12">
        <v>18</v>
      </c>
      <c r="I75" s="12">
        <v>13</v>
      </c>
      <c r="J75" s="12">
        <v>13</v>
      </c>
      <c r="K75" s="12">
        <v>14</v>
      </c>
      <c r="L75" s="12">
        <v>12</v>
      </c>
      <c r="M75" s="12">
        <v>9</v>
      </c>
      <c r="N75" s="12">
        <v>10</v>
      </c>
      <c r="O75" s="12">
        <v>22</v>
      </c>
      <c r="P75" s="12">
        <v>26</v>
      </c>
      <c r="Q75" s="12">
        <v>5</v>
      </c>
      <c r="R75" s="12">
        <v>22</v>
      </c>
      <c r="S75" s="12">
        <v>0</v>
      </c>
      <c r="T75" s="12">
        <v>0</v>
      </c>
      <c r="U75" s="12">
        <v>12</v>
      </c>
      <c r="V75" s="12">
        <v>8</v>
      </c>
      <c r="W75" s="12">
        <v>10</v>
      </c>
      <c r="X75" s="12">
        <v>18</v>
      </c>
      <c r="Y75" s="12"/>
      <c r="Z75" s="12"/>
      <c r="AA75" s="12"/>
      <c r="AB75" s="12"/>
      <c r="AC75" s="12"/>
      <c r="AD75" s="12"/>
      <c r="AE75" s="12"/>
      <c r="AF75" s="12"/>
      <c r="AG75" s="30">
        <f t="shared" ref="AG75:AG116" si="11">+SUM(C75:AF75)</f>
        <v>324</v>
      </c>
    </row>
    <row r="76" spans="1:33" ht="15" customHeight="1">
      <c r="B76" s="21" t="s">
        <v>48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/>
      <c r="Z76" s="12"/>
      <c r="AA76" s="12"/>
      <c r="AB76" s="12"/>
      <c r="AC76" s="12"/>
      <c r="AD76" s="12"/>
      <c r="AE76" s="12"/>
      <c r="AF76" s="12"/>
      <c r="AG76" s="30">
        <f t="shared" si="11"/>
        <v>0</v>
      </c>
    </row>
    <row r="77" spans="1:33" ht="15" customHeight="1">
      <c r="B77" s="21" t="s">
        <v>17</v>
      </c>
      <c r="C77" s="12">
        <v>1</v>
      </c>
      <c r="D77" s="12">
        <v>0</v>
      </c>
      <c r="E77" s="12">
        <v>0</v>
      </c>
      <c r="F77" s="12">
        <v>3</v>
      </c>
      <c r="G77" s="12">
        <v>3</v>
      </c>
      <c r="H77" s="12">
        <v>1</v>
      </c>
      <c r="I77" s="12">
        <v>1</v>
      </c>
      <c r="J77" s="12">
        <v>0</v>
      </c>
      <c r="K77" s="12">
        <v>0</v>
      </c>
      <c r="L77" s="12">
        <v>1</v>
      </c>
      <c r="M77" s="12">
        <v>2</v>
      </c>
      <c r="N77" s="12">
        <v>2</v>
      </c>
      <c r="O77" s="12">
        <v>2</v>
      </c>
      <c r="P77" s="12">
        <v>0</v>
      </c>
      <c r="Q77" s="12">
        <v>1</v>
      </c>
      <c r="R77" s="12">
        <v>0</v>
      </c>
      <c r="S77" s="12">
        <v>0</v>
      </c>
      <c r="T77" s="12">
        <v>1</v>
      </c>
      <c r="U77" s="12">
        <v>1</v>
      </c>
      <c r="V77" s="12">
        <v>0</v>
      </c>
      <c r="W77" s="12">
        <v>0</v>
      </c>
      <c r="X77" s="12">
        <v>0</v>
      </c>
      <c r="Y77" s="12"/>
      <c r="Z77" s="12"/>
      <c r="AA77" s="12"/>
      <c r="AB77" s="12"/>
      <c r="AC77" s="12"/>
      <c r="AD77" s="12"/>
      <c r="AE77" s="12"/>
      <c r="AF77" s="12"/>
      <c r="AG77" s="30">
        <f t="shared" si="11"/>
        <v>19</v>
      </c>
    </row>
    <row r="78" spans="1:33" ht="15" customHeight="1">
      <c r="B78" s="21" t="s">
        <v>34</v>
      </c>
      <c r="C78" s="12">
        <v>0</v>
      </c>
      <c r="D78" s="12">
        <v>0</v>
      </c>
      <c r="E78" s="12">
        <v>2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1</v>
      </c>
      <c r="N78" s="12">
        <v>0</v>
      </c>
      <c r="O78" s="12">
        <v>0</v>
      </c>
      <c r="P78" s="12">
        <v>0</v>
      </c>
      <c r="Q78" s="12">
        <v>0</v>
      </c>
      <c r="R78" s="12">
        <v>1</v>
      </c>
      <c r="S78" s="12">
        <v>0</v>
      </c>
      <c r="T78" s="12">
        <v>0</v>
      </c>
      <c r="U78" s="12">
        <v>0</v>
      </c>
      <c r="V78" s="12">
        <v>0</v>
      </c>
      <c r="W78" s="12">
        <v>1</v>
      </c>
      <c r="X78" s="12">
        <v>1</v>
      </c>
      <c r="Y78" s="12"/>
      <c r="Z78" s="12"/>
      <c r="AA78" s="12"/>
      <c r="AB78" s="12"/>
      <c r="AC78" s="12"/>
      <c r="AD78" s="12"/>
      <c r="AE78" s="12"/>
      <c r="AF78" s="12"/>
      <c r="AG78" s="30">
        <f t="shared" si="11"/>
        <v>6</v>
      </c>
    </row>
    <row r="79" spans="1:33" ht="15" customHeight="1">
      <c r="B79" s="21" t="s">
        <v>70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31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/>
      <c r="Z79" s="12"/>
      <c r="AA79" s="12"/>
      <c r="AB79" s="12"/>
      <c r="AC79" s="12"/>
      <c r="AD79" s="12"/>
      <c r="AE79" s="12"/>
      <c r="AF79" s="12"/>
      <c r="AG79" s="30">
        <f t="shared" si="11"/>
        <v>0</v>
      </c>
    </row>
    <row r="80" spans="1:33" ht="15" customHeight="1">
      <c r="B80" s="21" t="s">
        <v>50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31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/>
      <c r="Z80" s="12"/>
      <c r="AA80" s="12"/>
      <c r="AB80" s="12"/>
      <c r="AC80" s="12"/>
      <c r="AD80" s="12"/>
      <c r="AE80" s="12"/>
      <c r="AF80" s="12"/>
      <c r="AG80" s="30">
        <f t="shared" si="11"/>
        <v>0</v>
      </c>
    </row>
    <row r="81" spans="2:33" ht="15" customHeight="1">
      <c r="B81" s="21" t="s">
        <v>10</v>
      </c>
      <c r="C81" s="12">
        <v>0</v>
      </c>
      <c r="D81" s="12">
        <v>1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31">
        <v>0</v>
      </c>
      <c r="Q81" s="12">
        <v>0</v>
      </c>
      <c r="R81" s="12">
        <v>1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/>
      <c r="Z81" s="12"/>
      <c r="AA81" s="12"/>
      <c r="AB81" s="12"/>
      <c r="AC81" s="12"/>
      <c r="AD81" s="12"/>
      <c r="AE81" s="12"/>
      <c r="AF81" s="12"/>
      <c r="AG81" s="30">
        <f t="shared" si="11"/>
        <v>2</v>
      </c>
    </row>
    <row r="82" spans="2:33" ht="15" customHeight="1">
      <c r="B82" s="21" t="s">
        <v>32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31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/>
      <c r="Z82" s="12"/>
      <c r="AA82" s="12"/>
      <c r="AB82" s="12"/>
      <c r="AC82" s="12"/>
      <c r="AD82" s="12"/>
      <c r="AE82" s="12"/>
      <c r="AF82" s="12"/>
      <c r="AG82" s="30">
        <f t="shared" si="11"/>
        <v>0</v>
      </c>
    </row>
    <row r="83" spans="2:33" ht="15" customHeight="1">
      <c r="B83" s="21" t="s">
        <v>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/>
      <c r="Z83" s="12"/>
      <c r="AA83" s="12"/>
      <c r="AB83" s="12"/>
      <c r="AC83" s="12"/>
      <c r="AD83" s="12"/>
      <c r="AE83" s="12"/>
      <c r="AF83" s="12"/>
      <c r="AG83" s="30">
        <f t="shared" si="11"/>
        <v>0</v>
      </c>
    </row>
    <row r="84" spans="2:33" ht="15" customHeight="1">
      <c r="B84" s="21" t="s">
        <v>35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/>
      <c r="Z84" s="12"/>
      <c r="AA84" s="12"/>
      <c r="AB84" s="12"/>
      <c r="AC84" s="12"/>
      <c r="AD84" s="12"/>
      <c r="AE84" s="12"/>
      <c r="AF84" s="12"/>
      <c r="AG84" s="30">
        <f t="shared" si="11"/>
        <v>0</v>
      </c>
    </row>
    <row r="85" spans="2:33" ht="15" customHeight="1">
      <c r="B85" s="21" t="s">
        <v>28</v>
      </c>
      <c r="C85" s="12">
        <v>1</v>
      </c>
      <c r="D85" s="12">
        <v>0</v>
      </c>
      <c r="E85" s="12">
        <v>1</v>
      </c>
      <c r="F85" s="12">
        <v>1</v>
      </c>
      <c r="G85" s="12">
        <v>2</v>
      </c>
      <c r="H85" s="12">
        <v>1</v>
      </c>
      <c r="I85" s="12">
        <v>1</v>
      </c>
      <c r="J85" s="12">
        <v>1</v>
      </c>
      <c r="K85" s="12">
        <v>0</v>
      </c>
      <c r="L85" s="12">
        <v>0</v>
      </c>
      <c r="M85" s="12">
        <v>2</v>
      </c>
      <c r="N85" s="12">
        <v>1</v>
      </c>
      <c r="O85" s="12">
        <v>1</v>
      </c>
      <c r="P85" s="12">
        <v>1</v>
      </c>
      <c r="Q85" s="12">
        <v>0</v>
      </c>
      <c r="R85" s="12">
        <v>0</v>
      </c>
      <c r="S85" s="12">
        <v>0</v>
      </c>
      <c r="T85" s="12">
        <v>0</v>
      </c>
      <c r="U85" s="12">
        <v>2</v>
      </c>
      <c r="V85" s="12">
        <v>1</v>
      </c>
      <c r="W85" s="12">
        <v>0</v>
      </c>
      <c r="X85" s="12">
        <v>0</v>
      </c>
      <c r="Y85" s="12"/>
      <c r="Z85" s="12"/>
      <c r="AA85" s="12"/>
      <c r="AB85" s="12"/>
      <c r="AC85" s="12"/>
      <c r="AD85" s="12"/>
      <c r="AE85" s="12"/>
      <c r="AF85" s="12"/>
      <c r="AG85" s="30">
        <f t="shared" si="11"/>
        <v>16</v>
      </c>
    </row>
    <row r="86" spans="2:33" ht="15" customHeight="1">
      <c r="B86" s="21" t="s">
        <v>7</v>
      </c>
      <c r="C86" s="12">
        <v>0</v>
      </c>
      <c r="D86" s="12">
        <v>0</v>
      </c>
      <c r="E86" s="12">
        <v>0</v>
      </c>
      <c r="F86" s="12">
        <v>1</v>
      </c>
      <c r="G86" s="12">
        <v>0</v>
      </c>
      <c r="H86" s="12">
        <v>0</v>
      </c>
      <c r="I86" s="12">
        <v>3</v>
      </c>
      <c r="J86" s="12">
        <v>2</v>
      </c>
      <c r="K86" s="12">
        <v>1</v>
      </c>
      <c r="L86" s="12">
        <v>2</v>
      </c>
      <c r="M86" s="12">
        <v>0</v>
      </c>
      <c r="N86" s="12">
        <v>1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1</v>
      </c>
      <c r="X86" s="12">
        <v>1</v>
      </c>
      <c r="Y86" s="12"/>
      <c r="Z86" s="12"/>
      <c r="AA86" s="12"/>
      <c r="AB86" s="12"/>
      <c r="AC86" s="12"/>
      <c r="AD86" s="12"/>
      <c r="AE86" s="12"/>
      <c r="AF86" s="12"/>
      <c r="AG86" s="30">
        <f t="shared" si="11"/>
        <v>12</v>
      </c>
    </row>
    <row r="87" spans="2:33" ht="15" customHeight="1">
      <c r="B87" s="21" t="s">
        <v>13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1</v>
      </c>
      <c r="W87" s="12">
        <v>0</v>
      </c>
      <c r="X87" s="12">
        <v>0</v>
      </c>
      <c r="Y87" s="12"/>
      <c r="Z87" s="12"/>
      <c r="AA87" s="12"/>
      <c r="AB87" s="12"/>
      <c r="AC87" s="12"/>
      <c r="AD87" s="12"/>
      <c r="AE87" s="12"/>
      <c r="AF87" s="12"/>
      <c r="AG87" s="30">
        <f t="shared" si="11"/>
        <v>1</v>
      </c>
    </row>
    <row r="88" spans="2:33" ht="15" customHeight="1">
      <c r="B88" s="21" t="s">
        <v>51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1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/>
      <c r="Z88" s="12"/>
      <c r="AA88" s="12"/>
      <c r="AB88" s="12"/>
      <c r="AC88" s="12"/>
      <c r="AD88" s="12"/>
      <c r="AE88" s="12"/>
      <c r="AF88" s="12"/>
      <c r="AG88" s="30">
        <f t="shared" si="11"/>
        <v>1</v>
      </c>
    </row>
    <row r="89" spans="2:33" ht="15" customHeight="1">
      <c r="B89" s="21" t="s">
        <v>52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1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/>
      <c r="Z89" s="12"/>
      <c r="AA89" s="12"/>
      <c r="AB89" s="12"/>
      <c r="AC89" s="12"/>
      <c r="AD89" s="12"/>
      <c r="AE89" s="12"/>
      <c r="AF89" s="12"/>
      <c r="AG89" s="30">
        <f t="shared" si="11"/>
        <v>1</v>
      </c>
    </row>
    <row r="90" spans="2:33" ht="15" customHeight="1">
      <c r="B90" s="21" t="s">
        <v>20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/>
      <c r="Z90" s="12"/>
      <c r="AA90" s="12"/>
      <c r="AB90" s="12"/>
      <c r="AC90" s="12"/>
      <c r="AD90" s="12"/>
      <c r="AE90" s="12"/>
      <c r="AF90" s="12"/>
      <c r="AG90" s="30">
        <f t="shared" si="11"/>
        <v>1</v>
      </c>
    </row>
    <row r="91" spans="2:33" ht="15" customHeight="1">
      <c r="B91" s="21" t="s">
        <v>53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/>
      <c r="Z91" s="12"/>
      <c r="AA91" s="12"/>
      <c r="AB91" s="12"/>
      <c r="AC91" s="12"/>
      <c r="AD91" s="12"/>
      <c r="AE91" s="12"/>
      <c r="AF91" s="12"/>
      <c r="AG91" s="30">
        <f t="shared" si="11"/>
        <v>0</v>
      </c>
    </row>
    <row r="92" spans="2:33" ht="15" customHeight="1">
      <c r="B92" s="21" t="s">
        <v>11</v>
      </c>
      <c r="C92" s="12">
        <v>0</v>
      </c>
      <c r="D92" s="12">
        <v>0</v>
      </c>
      <c r="E92" s="12">
        <v>0</v>
      </c>
      <c r="F92" s="12">
        <v>1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/>
      <c r="Z92" s="12"/>
      <c r="AA92" s="12"/>
      <c r="AB92" s="12"/>
      <c r="AC92" s="12"/>
      <c r="AD92" s="12"/>
      <c r="AE92" s="12"/>
      <c r="AF92" s="12"/>
      <c r="AG92" s="30">
        <f t="shared" si="11"/>
        <v>1</v>
      </c>
    </row>
    <row r="93" spans="2:33" ht="15" customHeight="1">
      <c r="B93" s="21" t="s">
        <v>54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1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/>
      <c r="Z93" s="12"/>
      <c r="AA93" s="12"/>
      <c r="AB93" s="12"/>
      <c r="AC93" s="12"/>
      <c r="AD93" s="12"/>
      <c r="AE93" s="12"/>
      <c r="AF93" s="12"/>
      <c r="AG93" s="30">
        <f t="shared" si="11"/>
        <v>2</v>
      </c>
    </row>
    <row r="94" spans="2:33" ht="15" customHeight="1">
      <c r="B94" s="21" t="s">
        <v>71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/>
      <c r="Z94" s="12"/>
      <c r="AA94" s="12"/>
      <c r="AB94" s="12"/>
      <c r="AC94" s="12"/>
      <c r="AD94" s="12"/>
      <c r="AE94" s="12"/>
      <c r="AF94" s="12"/>
      <c r="AG94" s="30">
        <f t="shared" si="11"/>
        <v>0</v>
      </c>
    </row>
    <row r="95" spans="2:33" ht="15" customHeight="1">
      <c r="B95" s="21" t="s">
        <v>16</v>
      </c>
      <c r="C95" s="12">
        <v>2</v>
      </c>
      <c r="D95" s="12">
        <v>2</v>
      </c>
      <c r="E95" s="12">
        <v>0</v>
      </c>
      <c r="F95" s="12">
        <v>2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2</v>
      </c>
      <c r="M95" s="12">
        <v>1</v>
      </c>
      <c r="N95" s="12">
        <v>0</v>
      </c>
      <c r="O95" s="12">
        <v>1</v>
      </c>
      <c r="P95" s="12">
        <v>0</v>
      </c>
      <c r="Q95" s="12">
        <v>0</v>
      </c>
      <c r="R95" s="12">
        <v>3</v>
      </c>
      <c r="S95" s="12">
        <v>0</v>
      </c>
      <c r="T95" s="12">
        <v>0</v>
      </c>
      <c r="U95" s="12">
        <v>0</v>
      </c>
      <c r="V95" s="12">
        <v>3</v>
      </c>
      <c r="W95" s="12">
        <v>0</v>
      </c>
      <c r="X95" s="12">
        <v>1</v>
      </c>
      <c r="Y95" s="12"/>
      <c r="Z95" s="12"/>
      <c r="AA95" s="12"/>
      <c r="AB95" s="12"/>
      <c r="AC95" s="12"/>
      <c r="AD95" s="12"/>
      <c r="AE95" s="12"/>
      <c r="AF95" s="12"/>
      <c r="AG95" s="30">
        <f t="shared" si="11"/>
        <v>17</v>
      </c>
    </row>
    <row r="96" spans="2:33" ht="15" customHeight="1">
      <c r="B96" s="21" t="s">
        <v>56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/>
      <c r="Z96" s="12"/>
      <c r="AA96" s="12"/>
      <c r="AB96" s="12"/>
      <c r="AC96" s="12"/>
      <c r="AD96" s="12"/>
      <c r="AE96" s="12"/>
      <c r="AF96" s="12"/>
      <c r="AG96" s="30">
        <f t="shared" si="11"/>
        <v>0</v>
      </c>
    </row>
    <row r="97" spans="2:33" ht="15" customHeight="1">
      <c r="B97" s="21" t="s">
        <v>25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2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/>
      <c r="Z97" s="12"/>
      <c r="AA97" s="12"/>
      <c r="AB97" s="12"/>
      <c r="AC97" s="12"/>
      <c r="AD97" s="12"/>
      <c r="AE97" s="12"/>
      <c r="AF97" s="12"/>
      <c r="AG97" s="30">
        <f t="shared" si="11"/>
        <v>2</v>
      </c>
    </row>
    <row r="98" spans="2:33" ht="15" customHeight="1">
      <c r="B98" s="21" t="s">
        <v>44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1</v>
      </c>
      <c r="J98" s="12">
        <v>0</v>
      </c>
      <c r="K98" s="12">
        <v>1</v>
      </c>
      <c r="L98" s="12">
        <v>0</v>
      </c>
      <c r="M98" s="12">
        <v>1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/>
      <c r="Z98" s="12"/>
      <c r="AA98" s="12"/>
      <c r="AB98" s="12"/>
      <c r="AC98" s="12"/>
      <c r="AD98" s="12"/>
      <c r="AE98" s="12"/>
      <c r="AF98" s="12"/>
      <c r="AG98" s="30">
        <f t="shared" si="11"/>
        <v>3</v>
      </c>
    </row>
    <row r="99" spans="2:33" ht="15" customHeight="1">
      <c r="B99" s="21" t="s">
        <v>23</v>
      </c>
      <c r="C99" s="12">
        <v>1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1</v>
      </c>
      <c r="J99" s="12">
        <v>0</v>
      </c>
      <c r="K99" s="12">
        <v>1</v>
      </c>
      <c r="L99" s="12">
        <v>0</v>
      </c>
      <c r="M99" s="12">
        <v>1</v>
      </c>
      <c r="N99" s="12">
        <v>0</v>
      </c>
      <c r="O99" s="12">
        <v>0</v>
      </c>
      <c r="P99" s="12">
        <v>1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/>
      <c r="Z99" s="12"/>
      <c r="AA99" s="12"/>
      <c r="AB99" s="12"/>
      <c r="AC99" s="12"/>
      <c r="AD99" s="12"/>
      <c r="AE99" s="12"/>
      <c r="AF99" s="12"/>
      <c r="AG99" s="30">
        <f t="shared" si="11"/>
        <v>5</v>
      </c>
    </row>
    <row r="100" spans="2:33" ht="15" customHeight="1">
      <c r="B100" s="21" t="s">
        <v>19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</v>
      </c>
      <c r="V100" s="12">
        <v>0</v>
      </c>
      <c r="W100" s="12">
        <v>1</v>
      </c>
      <c r="X100" s="12">
        <v>0</v>
      </c>
      <c r="Y100" s="12"/>
      <c r="Z100" s="12"/>
      <c r="AA100" s="12"/>
      <c r="AB100" s="12"/>
      <c r="AC100" s="12"/>
      <c r="AD100" s="12"/>
      <c r="AE100" s="12"/>
      <c r="AF100" s="12"/>
      <c r="AG100" s="30">
        <f t="shared" si="11"/>
        <v>2</v>
      </c>
    </row>
    <row r="101" spans="2:33" ht="15" customHeight="1">
      <c r="B101" s="21" t="s">
        <v>57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12"/>
      <c r="AA101" s="12"/>
      <c r="AB101" s="12"/>
      <c r="AC101" s="12"/>
      <c r="AD101" s="12"/>
      <c r="AE101" s="12"/>
      <c r="AF101" s="12"/>
      <c r="AG101" s="30">
        <f t="shared" si="11"/>
        <v>0</v>
      </c>
    </row>
    <row r="102" spans="2:33" ht="15" customHeight="1">
      <c r="B102" s="21" t="s">
        <v>42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1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12"/>
      <c r="AA102" s="12"/>
      <c r="AB102" s="12"/>
      <c r="AC102" s="12"/>
      <c r="AD102" s="12"/>
      <c r="AE102" s="12"/>
      <c r="AF102" s="12"/>
      <c r="AG102" s="30">
        <f t="shared" si="11"/>
        <v>1</v>
      </c>
    </row>
    <row r="103" spans="2:33" ht="15" customHeight="1">
      <c r="B103" s="21" t="s">
        <v>58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12"/>
      <c r="AA103" s="12"/>
      <c r="AB103" s="12"/>
      <c r="AC103" s="12"/>
      <c r="AD103" s="12"/>
      <c r="AE103" s="12"/>
      <c r="AF103" s="12"/>
      <c r="AG103" s="30">
        <f t="shared" si="11"/>
        <v>0</v>
      </c>
    </row>
    <row r="104" spans="2:33" ht="15" customHeight="1">
      <c r="B104" s="21" t="s">
        <v>38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3</v>
      </c>
      <c r="X104" s="12">
        <v>2</v>
      </c>
      <c r="Y104" s="12"/>
      <c r="Z104" s="12"/>
      <c r="AA104" s="12"/>
      <c r="AB104" s="12"/>
      <c r="AC104" s="12"/>
      <c r="AD104" s="12"/>
      <c r="AE104" s="12"/>
      <c r="AF104" s="12"/>
      <c r="AG104" s="30">
        <f t="shared" si="11"/>
        <v>5</v>
      </c>
    </row>
    <row r="105" spans="2:33" ht="15" customHeight="1">
      <c r="B105" s="21" t="s">
        <v>27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12"/>
      <c r="AA105" s="12"/>
      <c r="AB105" s="12"/>
      <c r="AC105" s="12"/>
      <c r="AD105" s="12"/>
      <c r="AE105" s="12"/>
      <c r="AF105" s="12"/>
      <c r="AG105" s="30">
        <f t="shared" si="11"/>
        <v>0</v>
      </c>
    </row>
    <row r="106" spans="2:33" ht="15" customHeight="1">
      <c r="B106" s="21" t="s">
        <v>86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2</v>
      </c>
      <c r="Q106" s="12">
        <v>0</v>
      </c>
      <c r="R106" s="12">
        <v>0</v>
      </c>
      <c r="S106" s="12">
        <v>0</v>
      </c>
      <c r="T106" s="12">
        <v>0</v>
      </c>
      <c r="U106" s="12">
        <v>1</v>
      </c>
      <c r="V106" s="12">
        <v>1</v>
      </c>
      <c r="W106" s="12">
        <v>0</v>
      </c>
      <c r="X106" s="12">
        <v>0</v>
      </c>
      <c r="Y106" s="12"/>
      <c r="Z106" s="12"/>
      <c r="AA106" s="12"/>
      <c r="AB106" s="12"/>
      <c r="AC106" s="12"/>
      <c r="AD106" s="12"/>
      <c r="AE106" s="12"/>
      <c r="AF106" s="12"/>
      <c r="AG106" s="30">
        <f t="shared" si="11"/>
        <v>4</v>
      </c>
    </row>
    <row r="107" spans="2:33" ht="15" customHeight="1">
      <c r="B107" s="21" t="s">
        <v>59</v>
      </c>
      <c r="C107" s="12">
        <v>6</v>
      </c>
      <c r="D107" s="12">
        <v>2</v>
      </c>
      <c r="E107" s="12">
        <v>4</v>
      </c>
      <c r="F107" s="12">
        <v>11</v>
      </c>
      <c r="G107" s="12">
        <v>6</v>
      </c>
      <c r="H107" s="12">
        <v>5</v>
      </c>
      <c r="I107" s="12">
        <v>4</v>
      </c>
      <c r="J107" s="12">
        <v>12</v>
      </c>
      <c r="K107" s="12">
        <v>11</v>
      </c>
      <c r="L107" s="12">
        <v>9</v>
      </c>
      <c r="M107" s="12">
        <v>11</v>
      </c>
      <c r="N107" s="12">
        <v>9</v>
      </c>
      <c r="O107" s="12">
        <v>3</v>
      </c>
      <c r="P107" s="12">
        <v>7</v>
      </c>
      <c r="Q107" s="12">
        <v>5</v>
      </c>
      <c r="R107" s="12">
        <v>18</v>
      </c>
      <c r="S107" s="12">
        <v>0</v>
      </c>
      <c r="T107" s="12">
        <v>6</v>
      </c>
      <c r="U107" s="12">
        <v>21</v>
      </c>
      <c r="V107" s="12">
        <v>0</v>
      </c>
      <c r="W107" s="12">
        <v>6</v>
      </c>
      <c r="X107" s="12">
        <v>14</v>
      </c>
      <c r="Y107" s="12"/>
      <c r="Z107" s="12"/>
      <c r="AA107" s="12"/>
      <c r="AB107" s="12"/>
      <c r="AC107" s="12"/>
      <c r="AD107" s="12"/>
      <c r="AE107" s="12"/>
      <c r="AF107" s="12"/>
      <c r="AG107" s="30">
        <f t="shared" si="11"/>
        <v>170</v>
      </c>
    </row>
    <row r="108" spans="2:33" ht="15" customHeight="1">
      <c r="B108" s="21" t="s">
        <v>60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3</v>
      </c>
      <c r="W108" s="12">
        <v>0</v>
      </c>
      <c r="X108" s="12">
        <v>0</v>
      </c>
      <c r="Y108" s="12"/>
      <c r="Z108" s="12"/>
      <c r="AA108" s="12"/>
      <c r="AB108" s="12"/>
      <c r="AC108" s="12"/>
      <c r="AD108" s="12"/>
      <c r="AE108" s="12"/>
      <c r="AF108" s="12"/>
      <c r="AG108" s="30">
        <f t="shared" si="11"/>
        <v>3</v>
      </c>
    </row>
    <row r="109" spans="2:33" ht="15" customHeight="1">
      <c r="B109" s="21" t="s">
        <v>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12"/>
      <c r="AA109" s="12"/>
      <c r="AB109" s="12"/>
      <c r="AC109" s="12"/>
      <c r="AD109" s="12"/>
      <c r="AE109" s="12"/>
      <c r="AF109" s="12"/>
      <c r="AG109" s="30">
        <f t="shared" si="11"/>
        <v>0</v>
      </c>
    </row>
    <row r="110" spans="2:33" ht="15" customHeight="1">
      <c r="B110" s="21" t="s">
        <v>61</v>
      </c>
      <c r="C110" s="12">
        <v>0</v>
      </c>
      <c r="D110" s="12">
        <v>0</v>
      </c>
      <c r="E110" s="12">
        <v>0</v>
      </c>
      <c r="F110" s="12">
        <v>2</v>
      </c>
      <c r="G110" s="12">
        <v>3</v>
      </c>
      <c r="H110" s="12">
        <v>0</v>
      </c>
      <c r="I110" s="12">
        <v>1</v>
      </c>
      <c r="J110" s="12">
        <v>0</v>
      </c>
      <c r="K110" s="12">
        <v>1</v>
      </c>
      <c r="L110" s="12">
        <v>2</v>
      </c>
      <c r="M110" s="12">
        <v>1</v>
      </c>
      <c r="N110" s="12">
        <v>0</v>
      </c>
      <c r="O110" s="12">
        <v>1</v>
      </c>
      <c r="P110" s="12">
        <v>1</v>
      </c>
      <c r="Q110" s="12">
        <v>2</v>
      </c>
      <c r="R110" s="12">
        <v>1</v>
      </c>
      <c r="S110" s="12">
        <v>0</v>
      </c>
      <c r="T110" s="12">
        <v>0</v>
      </c>
      <c r="U110" s="12">
        <v>0</v>
      </c>
      <c r="V110" s="12">
        <v>2</v>
      </c>
      <c r="W110" s="12">
        <v>0</v>
      </c>
      <c r="X110" s="12">
        <v>1</v>
      </c>
      <c r="Y110" s="12"/>
      <c r="Z110" s="12"/>
      <c r="AA110" s="12"/>
      <c r="AB110" s="12"/>
      <c r="AC110" s="12"/>
      <c r="AD110" s="12"/>
      <c r="AE110" s="12"/>
      <c r="AF110" s="12"/>
      <c r="AG110" s="30">
        <f t="shared" si="11"/>
        <v>18</v>
      </c>
    </row>
    <row r="111" spans="2:33" ht="15" customHeight="1">
      <c r="B111" s="21" t="s">
        <v>24</v>
      </c>
      <c r="C111" s="12">
        <v>0</v>
      </c>
      <c r="D111" s="12">
        <v>0</v>
      </c>
      <c r="E111" s="12">
        <v>0</v>
      </c>
      <c r="F111" s="12">
        <v>0</v>
      </c>
      <c r="G111" s="12">
        <v>1</v>
      </c>
      <c r="H111" s="12">
        <v>0</v>
      </c>
      <c r="I111" s="12">
        <v>0</v>
      </c>
      <c r="J111" s="12">
        <v>0</v>
      </c>
      <c r="K111" s="12">
        <v>0</v>
      </c>
      <c r="L111" s="35">
        <v>2</v>
      </c>
      <c r="M111" s="12">
        <v>0</v>
      </c>
      <c r="N111" s="12">
        <v>2</v>
      </c>
      <c r="O111" s="12">
        <v>0</v>
      </c>
      <c r="P111" s="12">
        <v>0</v>
      </c>
      <c r="Q111" s="12">
        <v>1</v>
      </c>
      <c r="R111" s="12">
        <v>4</v>
      </c>
      <c r="S111" s="12">
        <v>0</v>
      </c>
      <c r="T111" s="12">
        <v>0</v>
      </c>
      <c r="U111" s="12">
        <v>0</v>
      </c>
      <c r="V111" s="12">
        <v>1</v>
      </c>
      <c r="W111" s="12">
        <v>1</v>
      </c>
      <c r="X111" s="12">
        <v>0</v>
      </c>
      <c r="Y111" s="12"/>
      <c r="Z111" s="12"/>
      <c r="AA111" s="12"/>
      <c r="AB111" s="12"/>
      <c r="AC111" s="12"/>
      <c r="AD111" s="12"/>
      <c r="AE111" s="12"/>
      <c r="AF111" s="12"/>
      <c r="AG111" s="30">
        <f t="shared" si="11"/>
        <v>12</v>
      </c>
    </row>
    <row r="112" spans="2:33" ht="15" customHeight="1">
      <c r="B112" s="21" t="s">
        <v>62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12"/>
      <c r="AA112" s="12"/>
      <c r="AB112" s="12"/>
      <c r="AC112" s="12"/>
      <c r="AD112" s="12"/>
      <c r="AE112" s="12"/>
      <c r="AF112" s="12"/>
      <c r="AG112" s="30">
        <f t="shared" si="11"/>
        <v>0</v>
      </c>
    </row>
    <row r="113" spans="2:33" ht="15" customHeight="1">
      <c r="B113" s="21" t="s">
        <v>43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12"/>
      <c r="AA113" s="12"/>
      <c r="AB113" s="12"/>
      <c r="AC113" s="12"/>
      <c r="AD113" s="12"/>
      <c r="AE113" s="12"/>
      <c r="AF113" s="12"/>
      <c r="AG113" s="30">
        <f t="shared" si="11"/>
        <v>0</v>
      </c>
    </row>
    <row r="114" spans="2:33" ht="15" customHeight="1">
      <c r="B114" s="21" t="s">
        <v>26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12"/>
      <c r="AA114" s="12"/>
      <c r="AB114" s="12"/>
      <c r="AC114" s="12"/>
      <c r="AD114" s="12"/>
      <c r="AE114" s="12"/>
      <c r="AF114" s="12"/>
      <c r="AG114" s="30">
        <f t="shared" si="11"/>
        <v>0</v>
      </c>
    </row>
    <row r="115" spans="2:33" ht="15" customHeight="1">
      <c r="B115" s="21" t="s">
        <v>22</v>
      </c>
      <c r="C115" s="12">
        <v>0</v>
      </c>
      <c r="D115" s="12">
        <v>0</v>
      </c>
      <c r="E115" s="12">
        <v>0</v>
      </c>
      <c r="F115" s="12">
        <v>1</v>
      </c>
      <c r="G115" s="12">
        <v>0</v>
      </c>
      <c r="H115" s="12">
        <v>0</v>
      </c>
      <c r="I115" s="12">
        <v>1</v>
      </c>
      <c r="J115" s="12">
        <v>0</v>
      </c>
      <c r="K115" s="12">
        <v>1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1</v>
      </c>
      <c r="R115" s="12">
        <v>1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12"/>
      <c r="AA115" s="12"/>
      <c r="AB115" s="12"/>
      <c r="AC115" s="12"/>
      <c r="AD115" s="12"/>
      <c r="AE115" s="12"/>
      <c r="AF115" s="12"/>
      <c r="AG115" s="30">
        <f t="shared" si="11"/>
        <v>5</v>
      </c>
    </row>
    <row r="116" spans="2:33" ht="15" customHeight="1">
      <c r="B116" s="21" t="s">
        <v>45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1</v>
      </c>
      <c r="V116" s="12">
        <v>2</v>
      </c>
      <c r="W116" s="12">
        <v>0</v>
      </c>
      <c r="X116" s="12">
        <v>0</v>
      </c>
      <c r="Y116" s="12"/>
      <c r="Z116" s="12"/>
      <c r="AA116" s="12"/>
      <c r="AB116" s="12"/>
      <c r="AC116" s="12"/>
      <c r="AD116" s="12"/>
      <c r="AE116" s="12"/>
      <c r="AF116" s="12"/>
      <c r="AG116" s="30">
        <f t="shared" si="11"/>
        <v>3</v>
      </c>
    </row>
    <row r="117" spans="2:33" ht="15" customHeight="1">
      <c r="B117" s="1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sheetProtection selectLockedCells="1" selectUnlockedCells="1"/>
  <mergeCells count="4">
    <mergeCell ref="B2:D2"/>
    <mergeCell ref="B16:D16"/>
    <mergeCell ref="B36:D36"/>
    <mergeCell ref="B70:D70"/>
  </mergeCells>
  <conditionalFormatting sqref="A75:A116">
    <cfRule type="duplicateValues" dxfId="5" priority="65"/>
  </conditionalFormatting>
  <conditionalFormatting sqref="C2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:AG6">
    <cfRule type="colorScale" priority="151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AG6 Z6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:AG20">
    <cfRule type="colorScale" priority="151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AG20 Z20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Z40:AG40">
    <cfRule type="colorScale" priority="151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AG40 Z4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A74 AG7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151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15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15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151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X40 Z40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A74 AG7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X20 Z20 D2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4:AA74 D7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F6">
    <cfRule type="colorScale" priority="15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F20">
    <cfRule type="colorScale" priority="15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F40">
    <cfRule type="colorScale" priority="15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4:AF74">
    <cfRule type="colorScale" priority="151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 C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 C2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 C4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4" priority="63"/>
  </conditionalFormatting>
  <conditionalFormatting sqref="AG7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4:AG116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G142"/>
  <sheetViews>
    <sheetView tabSelected="1" zoomScale="85" zoomScaleNormal="85" workbookViewId="0">
      <pane xSplit="2" topLeftCell="C1" activePane="topRight" state="frozen"/>
      <selection pane="topRight" activeCell="B50" sqref="B50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23" width="9.08984375" style="7"/>
    <col min="24" max="24" width="8.90625" style="7" customWidth="1"/>
    <col min="25" max="27" width="9.08984375" style="7"/>
    <col min="28" max="28" width="11" style="7"/>
    <col min="29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v>2676</v>
      </c>
      <c r="D4" s="12">
        <v>2544</v>
      </c>
      <c r="E4" s="12">
        <v>2762</v>
      </c>
      <c r="F4" s="12">
        <v>2725</v>
      </c>
      <c r="G4" s="12">
        <v>2601</v>
      </c>
      <c r="H4" s="12">
        <v>2622</v>
      </c>
      <c r="I4" s="12">
        <v>2695</v>
      </c>
      <c r="J4" s="12">
        <v>2708</v>
      </c>
      <c r="K4" s="12">
        <v>2579</v>
      </c>
      <c r="L4" s="12">
        <v>2549</v>
      </c>
      <c r="M4" s="12">
        <v>2705</v>
      </c>
      <c r="N4" s="12">
        <v>2612</v>
      </c>
      <c r="O4" s="12">
        <v>2935</v>
      </c>
      <c r="P4" s="12">
        <v>2854</v>
      </c>
      <c r="Q4" s="12">
        <v>2815</v>
      </c>
      <c r="R4" s="12">
        <v>2526</v>
      </c>
      <c r="S4" s="12">
        <v>0</v>
      </c>
      <c r="T4" s="12">
        <v>2633</v>
      </c>
      <c r="U4" s="12">
        <v>2644</v>
      </c>
      <c r="V4" s="12">
        <v>2807</v>
      </c>
      <c r="W4" s="12">
        <v>2735</v>
      </c>
      <c r="X4" s="12">
        <v>2708</v>
      </c>
      <c r="Y4" s="12"/>
      <c r="Z4" s="12"/>
      <c r="AA4" s="12"/>
      <c r="AB4" s="12"/>
      <c r="AC4" s="12"/>
      <c r="AD4" s="12"/>
      <c r="AE4" s="12"/>
      <c r="AF4" s="12"/>
      <c r="AG4" s="30">
        <f>SUM(C4:AF4)</f>
        <v>56435</v>
      </c>
    </row>
    <row r="5" spans="2:33" ht="15" customHeight="1">
      <c r="B5" s="11" t="s">
        <v>4</v>
      </c>
      <c r="C5" s="12">
        <f t="shared" ref="C5:AG5" si="0">SUM(C7:C14)</f>
        <v>235</v>
      </c>
      <c r="D5" s="12">
        <f t="shared" si="0"/>
        <v>242</v>
      </c>
      <c r="E5" s="12">
        <f t="shared" si="0"/>
        <v>196</v>
      </c>
      <c r="F5" s="12">
        <f t="shared" si="0"/>
        <v>199</v>
      </c>
      <c r="G5" s="12">
        <f t="shared" si="0"/>
        <v>216</v>
      </c>
      <c r="H5" s="12">
        <f t="shared" si="0"/>
        <v>238</v>
      </c>
      <c r="I5" s="12">
        <f t="shared" si="0"/>
        <v>256</v>
      </c>
      <c r="J5" s="12">
        <f t="shared" si="0"/>
        <v>237</v>
      </c>
      <c r="K5" s="12">
        <f t="shared" si="0"/>
        <v>269</v>
      </c>
      <c r="L5" s="12">
        <f t="shared" si="0"/>
        <v>257</v>
      </c>
      <c r="M5" s="12">
        <f t="shared" si="0"/>
        <v>210</v>
      </c>
      <c r="N5" s="12">
        <f t="shared" si="0"/>
        <v>147</v>
      </c>
      <c r="O5" s="12">
        <f t="shared" si="0"/>
        <v>185</v>
      </c>
      <c r="P5" s="12">
        <f t="shared" si="0"/>
        <v>205</v>
      </c>
      <c r="Q5" s="12">
        <f t="shared" si="0"/>
        <v>232</v>
      </c>
      <c r="R5" s="12">
        <f t="shared" ref="R5" si="1">SUM(R7:R14)</f>
        <v>214</v>
      </c>
      <c r="S5" s="12">
        <f t="shared" si="0"/>
        <v>0</v>
      </c>
      <c r="T5" s="12">
        <f t="shared" si="0"/>
        <v>230</v>
      </c>
      <c r="U5" s="12">
        <f t="shared" si="0"/>
        <v>263</v>
      </c>
      <c r="V5" s="12">
        <f t="shared" si="0"/>
        <v>191</v>
      </c>
      <c r="W5" s="12">
        <f t="shared" si="0"/>
        <v>217</v>
      </c>
      <c r="X5" s="12">
        <f t="shared" si="0"/>
        <v>187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4626</v>
      </c>
    </row>
    <row r="6" spans="2:33" ht="15" customHeight="1">
      <c r="B6" s="13" t="s">
        <v>5</v>
      </c>
      <c r="C6" s="14">
        <f t="shared" ref="C6:AG6" si="2">IF(C4=0,0,(C5/C4))</f>
        <v>8.7817638266068754E-2</v>
      </c>
      <c r="D6" s="14">
        <f t="shared" si="2"/>
        <v>9.5125786163522019E-2</v>
      </c>
      <c r="E6" s="14">
        <f t="shared" si="2"/>
        <v>7.0963070238957274E-2</v>
      </c>
      <c r="F6" s="14">
        <f t="shared" si="2"/>
        <v>7.3027522935779812E-2</v>
      </c>
      <c r="G6" s="14">
        <f t="shared" si="2"/>
        <v>8.3044982698961933E-2</v>
      </c>
      <c r="H6" s="14">
        <f t="shared" si="2"/>
        <v>9.0770404271548435E-2</v>
      </c>
      <c r="I6" s="14">
        <f t="shared" si="2"/>
        <v>9.499072356215213E-2</v>
      </c>
      <c r="J6" s="14">
        <f t="shared" si="2"/>
        <v>8.7518463810930577E-2</v>
      </c>
      <c r="K6" s="14">
        <f t="shared" si="2"/>
        <v>0.10430399379604498</v>
      </c>
      <c r="L6" s="14">
        <f t="shared" si="2"/>
        <v>0.10082385249117301</v>
      </c>
      <c r="M6" s="14">
        <f t="shared" si="2"/>
        <v>7.763401109057301E-2</v>
      </c>
      <c r="N6" s="14">
        <f t="shared" si="2"/>
        <v>5.6278713629402753E-2</v>
      </c>
      <c r="O6" s="14">
        <f t="shared" si="2"/>
        <v>6.3032367972742753E-2</v>
      </c>
      <c r="P6" s="14">
        <f t="shared" si="2"/>
        <v>7.182901191310441E-2</v>
      </c>
      <c r="Q6" s="14">
        <f t="shared" si="2"/>
        <v>8.2415630550621663E-2</v>
      </c>
      <c r="R6" s="14">
        <f t="shared" si="2"/>
        <v>8.471892319873317E-2</v>
      </c>
      <c r="S6" s="14">
        <f t="shared" si="2"/>
        <v>0</v>
      </c>
      <c r="T6" s="14">
        <f t="shared" si="2"/>
        <v>8.7352829472085072E-2</v>
      </c>
      <c r="U6" s="14">
        <f t="shared" si="2"/>
        <v>9.9470499243570348E-2</v>
      </c>
      <c r="V6" s="14">
        <f t="shared" si="2"/>
        <v>6.8044175276095478E-2</v>
      </c>
      <c r="W6" s="14">
        <f t="shared" si="2"/>
        <v>7.9341864716636193E-2</v>
      </c>
      <c r="X6" s="14">
        <f t="shared" si="2"/>
        <v>6.9054652880354506E-2</v>
      </c>
      <c r="Y6" s="14">
        <f t="shared" si="2"/>
        <v>0</v>
      </c>
      <c r="Z6" s="14">
        <f t="shared" si="2"/>
        <v>0</v>
      </c>
      <c r="AA6" s="14">
        <f t="shared" si="2"/>
        <v>0</v>
      </c>
      <c r="AB6" s="14">
        <f t="shared" si="2"/>
        <v>0</v>
      </c>
      <c r="AC6" s="14">
        <f t="shared" si="2"/>
        <v>0</v>
      </c>
      <c r="AD6" s="14">
        <f t="shared" si="2"/>
        <v>0</v>
      </c>
      <c r="AE6" s="14">
        <f t="shared" si="2"/>
        <v>0</v>
      </c>
      <c r="AF6" s="14">
        <f t="shared" si="2"/>
        <v>0</v>
      </c>
      <c r="AG6" s="14">
        <f t="shared" si="2"/>
        <v>8.1970408434482153E-2</v>
      </c>
    </row>
    <row r="7" spans="2:33" ht="15" customHeight="1">
      <c r="B7" s="11" t="s">
        <v>6</v>
      </c>
      <c r="C7" s="12">
        <v>29</v>
      </c>
      <c r="D7" s="12">
        <v>32</v>
      </c>
      <c r="E7" s="12">
        <v>25</v>
      </c>
      <c r="F7" s="12">
        <v>20</v>
      </c>
      <c r="G7" s="12">
        <v>27</v>
      </c>
      <c r="H7" s="12">
        <v>20</v>
      </c>
      <c r="I7" s="12">
        <v>31</v>
      </c>
      <c r="J7" s="12">
        <v>32</v>
      </c>
      <c r="K7" s="12">
        <v>28</v>
      </c>
      <c r="L7" s="12">
        <v>41</v>
      </c>
      <c r="M7" s="12">
        <v>46</v>
      </c>
      <c r="N7" s="12">
        <v>24</v>
      </c>
      <c r="O7" s="12">
        <v>19</v>
      </c>
      <c r="P7" s="12">
        <v>25</v>
      </c>
      <c r="Q7" s="12">
        <v>24</v>
      </c>
      <c r="R7" s="12">
        <v>43</v>
      </c>
      <c r="S7" s="12">
        <v>0</v>
      </c>
      <c r="T7" s="12">
        <v>40</v>
      </c>
      <c r="U7" s="12">
        <v>23</v>
      </c>
      <c r="V7" s="12">
        <v>21</v>
      </c>
      <c r="W7" s="12">
        <v>28</v>
      </c>
      <c r="X7" s="12">
        <v>18</v>
      </c>
      <c r="Y7" s="12"/>
      <c r="Z7" s="12"/>
      <c r="AA7" s="12"/>
      <c r="AB7" s="12"/>
      <c r="AC7" s="12"/>
      <c r="AD7" s="12"/>
      <c r="AE7" s="12"/>
      <c r="AF7" s="12"/>
      <c r="AG7" s="30">
        <f t="shared" ref="AG7:AG14" si="3">+SUM(C7:AF7)</f>
        <v>596</v>
      </c>
    </row>
    <row r="8" spans="2:33" ht="15" customHeight="1">
      <c r="B8" s="11" t="s">
        <v>7</v>
      </c>
      <c r="C8" s="12">
        <v>0</v>
      </c>
      <c r="D8" s="12">
        <v>1</v>
      </c>
      <c r="E8" s="12">
        <v>1</v>
      </c>
      <c r="F8" s="12">
        <v>3</v>
      </c>
      <c r="G8" s="12">
        <v>2</v>
      </c>
      <c r="H8" s="12">
        <v>3</v>
      </c>
      <c r="I8" s="12">
        <v>0</v>
      </c>
      <c r="J8" s="12">
        <v>6</v>
      </c>
      <c r="K8" s="12">
        <v>2</v>
      </c>
      <c r="L8" s="12">
        <v>3</v>
      </c>
      <c r="M8" s="12">
        <v>0</v>
      </c>
      <c r="N8" s="12">
        <v>0</v>
      </c>
      <c r="O8" s="12">
        <v>0</v>
      </c>
      <c r="P8" s="12">
        <v>3</v>
      </c>
      <c r="Q8" s="12">
        <v>3</v>
      </c>
      <c r="R8" s="12">
        <v>0</v>
      </c>
      <c r="S8" s="12">
        <v>0</v>
      </c>
      <c r="T8" s="12">
        <v>2</v>
      </c>
      <c r="U8" s="12">
        <v>0</v>
      </c>
      <c r="V8" s="12">
        <v>3</v>
      </c>
      <c r="W8" s="12">
        <v>2</v>
      </c>
      <c r="X8" s="12">
        <v>1</v>
      </c>
      <c r="Y8" s="12"/>
      <c r="Z8" s="12"/>
      <c r="AA8" s="27"/>
      <c r="AB8" s="12"/>
      <c r="AC8" s="12"/>
      <c r="AD8" s="12"/>
      <c r="AE8" s="12"/>
      <c r="AF8" s="12"/>
      <c r="AG8" s="30">
        <f t="shared" si="3"/>
        <v>35</v>
      </c>
    </row>
    <row r="9" spans="2:33" ht="15" customHeight="1">
      <c r="B9" s="11" t="s">
        <v>8</v>
      </c>
      <c r="C9" s="12">
        <v>159</v>
      </c>
      <c r="D9" s="12">
        <v>158</v>
      </c>
      <c r="E9" s="12">
        <v>130</v>
      </c>
      <c r="F9" s="12">
        <v>130</v>
      </c>
      <c r="G9" s="12">
        <v>140</v>
      </c>
      <c r="H9" s="12">
        <v>148</v>
      </c>
      <c r="I9" s="12">
        <v>153</v>
      </c>
      <c r="J9" s="12">
        <v>142</v>
      </c>
      <c r="K9" s="12">
        <v>161</v>
      </c>
      <c r="L9" s="12">
        <v>138</v>
      </c>
      <c r="M9" s="12">
        <v>85</v>
      </c>
      <c r="N9" s="12">
        <v>82</v>
      </c>
      <c r="O9" s="12">
        <v>117</v>
      </c>
      <c r="P9" s="12">
        <v>129</v>
      </c>
      <c r="Q9" s="12">
        <v>151</v>
      </c>
      <c r="R9" s="12">
        <v>116</v>
      </c>
      <c r="S9" s="12">
        <v>0</v>
      </c>
      <c r="T9" s="12">
        <v>136</v>
      </c>
      <c r="U9" s="12">
        <v>195</v>
      </c>
      <c r="V9" s="8">
        <v>140</v>
      </c>
      <c r="W9" s="12">
        <v>154</v>
      </c>
      <c r="X9" s="12">
        <v>136</v>
      </c>
      <c r="Y9" s="12"/>
      <c r="Z9" s="12"/>
      <c r="AA9" s="12"/>
      <c r="AB9" s="12"/>
      <c r="AC9" s="12"/>
      <c r="AD9" s="12"/>
      <c r="AE9" s="12"/>
      <c r="AF9" s="12"/>
      <c r="AG9" s="30">
        <f t="shared" si="3"/>
        <v>2900</v>
      </c>
    </row>
    <row r="10" spans="2:33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8">
        <v>0</v>
      </c>
      <c r="X10" s="12">
        <v>0</v>
      </c>
      <c r="Y10" s="12"/>
      <c r="Z10" s="12"/>
      <c r="AA10" s="12"/>
      <c r="AB10" s="12"/>
      <c r="AC10" s="12"/>
      <c r="AD10" s="12"/>
      <c r="AE10" s="12"/>
      <c r="AF10" s="12"/>
      <c r="AG10" s="30">
        <f t="shared" si="3"/>
        <v>0</v>
      </c>
    </row>
    <row r="11" spans="2:33" ht="15" customHeight="1">
      <c r="B11" s="11" t="s">
        <v>10</v>
      </c>
      <c r="C11" s="12">
        <v>21</v>
      </c>
      <c r="D11" s="12">
        <v>25</v>
      </c>
      <c r="E11" s="12">
        <v>20</v>
      </c>
      <c r="F11" s="12">
        <v>20</v>
      </c>
      <c r="G11" s="12">
        <v>16</v>
      </c>
      <c r="H11" s="12">
        <v>29</v>
      </c>
      <c r="I11" s="12">
        <v>29</v>
      </c>
      <c r="J11" s="12">
        <v>21</v>
      </c>
      <c r="K11" s="12">
        <v>34</v>
      </c>
      <c r="L11" s="12">
        <v>34</v>
      </c>
      <c r="M11" s="12">
        <v>27</v>
      </c>
      <c r="N11" s="12">
        <v>10</v>
      </c>
      <c r="O11" s="12">
        <v>23</v>
      </c>
      <c r="P11" s="12">
        <v>12</v>
      </c>
      <c r="Q11" s="12">
        <v>22</v>
      </c>
      <c r="R11" s="12">
        <v>26</v>
      </c>
      <c r="S11" s="12">
        <v>0</v>
      </c>
      <c r="T11" s="12">
        <v>19</v>
      </c>
      <c r="U11" s="12">
        <v>21</v>
      </c>
      <c r="V11" s="12">
        <v>22</v>
      </c>
      <c r="W11" s="12">
        <v>13</v>
      </c>
      <c r="X11" s="12">
        <v>16</v>
      </c>
      <c r="Y11" s="12"/>
      <c r="Z11" s="12"/>
      <c r="AA11" s="12"/>
      <c r="AB11" s="12"/>
      <c r="AC11" s="12"/>
      <c r="AD11" s="12"/>
      <c r="AE11" s="12"/>
      <c r="AF11" s="12"/>
      <c r="AG11" s="30">
        <f t="shared" si="3"/>
        <v>460</v>
      </c>
    </row>
    <row r="12" spans="2:33" ht="15" customHeight="1">
      <c r="B12" s="11" t="s">
        <v>11</v>
      </c>
      <c r="C12" s="12">
        <v>9</v>
      </c>
      <c r="D12" s="12">
        <v>4</v>
      </c>
      <c r="E12" s="12">
        <v>2</v>
      </c>
      <c r="F12" s="12">
        <v>3</v>
      </c>
      <c r="G12" s="12">
        <v>6</v>
      </c>
      <c r="H12" s="12">
        <v>3</v>
      </c>
      <c r="I12" s="12">
        <v>11</v>
      </c>
      <c r="J12" s="12">
        <v>9</v>
      </c>
      <c r="K12" s="12">
        <v>9</v>
      </c>
      <c r="L12" s="12">
        <v>3</v>
      </c>
      <c r="M12" s="12">
        <v>7</v>
      </c>
      <c r="N12" s="12">
        <v>4</v>
      </c>
      <c r="O12" s="12">
        <v>2</v>
      </c>
      <c r="P12" s="12">
        <v>17</v>
      </c>
      <c r="Q12" s="12">
        <v>5</v>
      </c>
      <c r="R12" s="12">
        <v>7</v>
      </c>
      <c r="S12" s="12">
        <v>0</v>
      </c>
      <c r="T12" s="12">
        <v>7</v>
      </c>
      <c r="U12" s="12">
        <v>8</v>
      </c>
      <c r="V12" s="12">
        <v>2</v>
      </c>
      <c r="W12" s="12">
        <v>3</v>
      </c>
      <c r="X12" s="27">
        <v>1</v>
      </c>
      <c r="Y12" s="12"/>
      <c r="Z12" s="12"/>
      <c r="AA12" s="12"/>
      <c r="AB12" s="12"/>
      <c r="AC12" s="12"/>
      <c r="AD12" s="12"/>
      <c r="AE12" s="12"/>
      <c r="AF12" s="12"/>
      <c r="AG12" s="30">
        <f t="shared" si="3"/>
        <v>122</v>
      </c>
    </row>
    <row r="13" spans="2:33" ht="15" customHeight="1">
      <c r="B13" s="11" t="s">
        <v>12</v>
      </c>
      <c r="C13" s="12">
        <v>16</v>
      </c>
      <c r="D13" s="12">
        <v>22</v>
      </c>
      <c r="E13" s="12">
        <v>18</v>
      </c>
      <c r="F13" s="12">
        <v>23</v>
      </c>
      <c r="G13" s="12">
        <v>25</v>
      </c>
      <c r="H13" s="12">
        <v>35</v>
      </c>
      <c r="I13" s="12">
        <v>31</v>
      </c>
      <c r="J13" s="12">
        <v>27</v>
      </c>
      <c r="K13" s="12">
        <v>34</v>
      </c>
      <c r="L13" s="12">
        <v>36</v>
      </c>
      <c r="M13" s="12">
        <v>44</v>
      </c>
      <c r="N13" s="12">
        <v>25</v>
      </c>
      <c r="O13" s="12">
        <v>24</v>
      </c>
      <c r="P13" s="12">
        <v>19</v>
      </c>
      <c r="Q13" s="12">
        <v>26</v>
      </c>
      <c r="R13" s="12">
        <v>20</v>
      </c>
      <c r="S13" s="12">
        <v>0</v>
      </c>
      <c r="T13" s="12">
        <v>25</v>
      </c>
      <c r="U13" s="12">
        <v>16</v>
      </c>
      <c r="V13" s="12">
        <v>3</v>
      </c>
      <c r="W13" s="12">
        <v>17</v>
      </c>
      <c r="X13" s="12">
        <v>15</v>
      </c>
      <c r="Y13" s="12"/>
      <c r="Z13" s="12"/>
      <c r="AA13" s="12"/>
      <c r="AB13" s="12"/>
      <c r="AC13" s="12"/>
      <c r="AD13" s="12"/>
      <c r="AE13" s="12"/>
      <c r="AF13" s="12"/>
      <c r="AG13" s="30">
        <f t="shared" si="3"/>
        <v>501</v>
      </c>
    </row>
    <row r="14" spans="2:33" ht="15" customHeight="1">
      <c r="B14" s="11" t="s">
        <v>13</v>
      </c>
      <c r="C14" s="12">
        <v>1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</v>
      </c>
      <c r="J14" s="12">
        <v>0</v>
      </c>
      <c r="K14" s="12">
        <v>1</v>
      </c>
      <c r="L14" s="12">
        <v>2</v>
      </c>
      <c r="M14" s="12">
        <v>1</v>
      </c>
      <c r="N14" s="12">
        <v>2</v>
      </c>
      <c r="O14" s="12">
        <v>0</v>
      </c>
      <c r="P14" s="12">
        <v>0</v>
      </c>
      <c r="Q14" s="12">
        <v>1</v>
      </c>
      <c r="R14" s="12">
        <v>2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/>
      <c r="Z14" s="12"/>
      <c r="AA14" s="12"/>
      <c r="AB14" s="12"/>
      <c r="AC14" s="12"/>
      <c r="AD14" s="12"/>
      <c r="AE14" s="12"/>
      <c r="AF14" s="12"/>
      <c r="AG14" s="30">
        <f t="shared" si="3"/>
        <v>12</v>
      </c>
    </row>
    <row r="15" spans="2:33" ht="15" customHeight="1">
      <c r="B15" s="15"/>
    </row>
    <row r="16" spans="2:33" ht="15" customHeight="1">
      <c r="B16" s="46" t="s">
        <v>14</v>
      </c>
      <c r="C16" s="47"/>
      <c r="D16" s="4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v>2676</v>
      </c>
      <c r="D18" s="12">
        <v>2544</v>
      </c>
      <c r="E18" s="12">
        <v>2762</v>
      </c>
      <c r="F18" s="12">
        <v>2725</v>
      </c>
      <c r="G18" s="12">
        <v>2601</v>
      </c>
      <c r="H18" s="12">
        <v>2622</v>
      </c>
      <c r="I18" s="12">
        <v>2695</v>
      </c>
      <c r="J18" s="12">
        <v>2708</v>
      </c>
      <c r="K18" s="12">
        <v>2579</v>
      </c>
      <c r="L18" s="12">
        <v>2549</v>
      </c>
      <c r="M18" s="12">
        <v>2705</v>
      </c>
      <c r="N18" s="12">
        <v>2612</v>
      </c>
      <c r="O18" s="12">
        <v>2935</v>
      </c>
      <c r="P18" s="12">
        <v>2854</v>
      </c>
      <c r="Q18" s="12">
        <v>2815</v>
      </c>
      <c r="R18" s="12">
        <v>2526</v>
      </c>
      <c r="S18" s="12">
        <v>0</v>
      </c>
      <c r="T18" s="12">
        <v>2633</v>
      </c>
      <c r="U18" s="12">
        <v>2644</v>
      </c>
      <c r="V18" s="12">
        <v>2807</v>
      </c>
      <c r="W18" s="12">
        <v>2735</v>
      </c>
      <c r="X18" s="12">
        <v>2708</v>
      </c>
      <c r="Y18" s="12"/>
      <c r="Z18" s="12"/>
      <c r="AA18" s="12"/>
      <c r="AB18" s="12"/>
      <c r="AC18" s="12"/>
      <c r="AD18" s="12"/>
      <c r="AE18" s="12"/>
      <c r="AF18" s="12"/>
      <c r="AG18" s="30">
        <f>SUM(C18:AF18)</f>
        <v>56435</v>
      </c>
    </row>
    <row r="19" spans="1:33" ht="15" customHeight="1">
      <c r="B19" s="11" t="s">
        <v>4</v>
      </c>
      <c r="C19" s="12">
        <f t="shared" ref="C19:AG19" si="4">SUM(C21:C33)</f>
        <v>96</v>
      </c>
      <c r="D19" s="12">
        <f t="shared" si="4"/>
        <v>91</v>
      </c>
      <c r="E19" s="12">
        <f t="shared" si="4"/>
        <v>102</v>
      </c>
      <c r="F19" s="12">
        <f t="shared" si="4"/>
        <v>109</v>
      </c>
      <c r="G19" s="12">
        <f t="shared" si="4"/>
        <v>120</v>
      </c>
      <c r="H19" s="12">
        <f t="shared" si="4"/>
        <v>114</v>
      </c>
      <c r="I19" s="12">
        <f t="shared" si="4"/>
        <v>144</v>
      </c>
      <c r="J19" s="12">
        <f t="shared" si="4"/>
        <v>135</v>
      </c>
      <c r="K19" s="12">
        <f t="shared" si="4"/>
        <v>85</v>
      </c>
      <c r="L19" s="12">
        <f t="shared" si="4"/>
        <v>83</v>
      </c>
      <c r="M19" s="12">
        <f t="shared" si="4"/>
        <v>117</v>
      </c>
      <c r="N19" s="12">
        <f t="shared" si="4"/>
        <v>77</v>
      </c>
      <c r="O19" s="12">
        <f t="shared" si="4"/>
        <v>70</v>
      </c>
      <c r="P19" s="12">
        <f t="shared" si="4"/>
        <v>71</v>
      </c>
      <c r="Q19" s="12">
        <f t="shared" si="4"/>
        <v>74</v>
      </c>
      <c r="R19" s="12">
        <f t="shared" ref="R19" si="5">SUM(R21:R33)</f>
        <v>74</v>
      </c>
      <c r="S19" s="12">
        <f t="shared" si="4"/>
        <v>0</v>
      </c>
      <c r="T19" s="12">
        <f t="shared" si="4"/>
        <v>72</v>
      </c>
      <c r="U19" s="12">
        <f t="shared" si="4"/>
        <v>87</v>
      </c>
      <c r="V19" s="12">
        <f t="shared" si="4"/>
        <v>88</v>
      </c>
      <c r="W19" s="12">
        <f t="shared" si="4"/>
        <v>85</v>
      </c>
      <c r="X19" s="12">
        <f t="shared" si="4"/>
        <v>72</v>
      </c>
      <c r="Y19" s="12">
        <f t="shared" si="4"/>
        <v>0</v>
      </c>
      <c r="Z19" s="12">
        <f t="shared" si="4"/>
        <v>0</v>
      </c>
      <c r="AA19" s="12">
        <f t="shared" si="4"/>
        <v>0</v>
      </c>
      <c r="AB19" s="12">
        <f t="shared" si="4"/>
        <v>0</v>
      </c>
      <c r="AC19" s="12">
        <f t="shared" si="4"/>
        <v>0</v>
      </c>
      <c r="AD19" s="12">
        <f t="shared" si="4"/>
        <v>0</v>
      </c>
      <c r="AE19" s="12">
        <f t="shared" si="4"/>
        <v>0</v>
      </c>
      <c r="AF19" s="12">
        <f t="shared" si="4"/>
        <v>0</v>
      </c>
      <c r="AG19" s="12">
        <f t="shared" si="4"/>
        <v>1966</v>
      </c>
    </row>
    <row r="20" spans="1:33" s="6" customFormat="1" ht="15" customHeight="1">
      <c r="A20" s="6" t="s">
        <v>15</v>
      </c>
      <c r="B20" s="13" t="s">
        <v>5</v>
      </c>
      <c r="C20" s="14">
        <f t="shared" ref="C20:AG20" si="6">IF(C18=0,0,(C19/C18))</f>
        <v>3.5874439461883408E-2</v>
      </c>
      <c r="D20" s="14">
        <f t="shared" si="6"/>
        <v>3.5770440251572326E-2</v>
      </c>
      <c r="E20" s="14">
        <f t="shared" si="6"/>
        <v>3.6929761042722664E-2</v>
      </c>
      <c r="F20" s="14">
        <f t="shared" si="6"/>
        <v>0.04</v>
      </c>
      <c r="G20" s="14">
        <f t="shared" si="6"/>
        <v>4.61361014994233E-2</v>
      </c>
      <c r="H20" s="14">
        <f t="shared" si="6"/>
        <v>4.3478260869565216E-2</v>
      </c>
      <c r="I20" s="14">
        <f t="shared" si="6"/>
        <v>5.3432282003710578E-2</v>
      </c>
      <c r="J20" s="14">
        <f t="shared" si="6"/>
        <v>4.9852289512555388E-2</v>
      </c>
      <c r="K20" s="14">
        <f t="shared" si="6"/>
        <v>3.2958511050794885E-2</v>
      </c>
      <c r="L20" s="14">
        <f t="shared" si="6"/>
        <v>3.2561788936837976E-2</v>
      </c>
      <c r="M20" s="14">
        <f t="shared" si="6"/>
        <v>4.3253234750462111E-2</v>
      </c>
      <c r="N20" s="14">
        <f t="shared" si="6"/>
        <v>2.9479326186830017E-2</v>
      </c>
      <c r="O20" s="14">
        <f t="shared" si="6"/>
        <v>2.385008517887564E-2</v>
      </c>
      <c r="P20" s="14">
        <f t="shared" si="6"/>
        <v>2.4877365101611773E-2</v>
      </c>
      <c r="Q20" s="14">
        <f t="shared" si="6"/>
        <v>2.6287744227353464E-2</v>
      </c>
      <c r="R20" s="14">
        <f t="shared" si="6"/>
        <v>2.9295328582739508E-2</v>
      </c>
      <c r="S20" s="14">
        <f t="shared" si="6"/>
        <v>0</v>
      </c>
      <c r="T20" s="14">
        <f t="shared" si="6"/>
        <v>2.7345233573870111E-2</v>
      </c>
      <c r="U20" s="14">
        <f t="shared" si="6"/>
        <v>3.2904689863842665E-2</v>
      </c>
      <c r="V20" s="14">
        <f t="shared" si="6"/>
        <v>3.1350195938724616E-2</v>
      </c>
      <c r="W20" s="14">
        <f t="shared" si="6"/>
        <v>3.1078610603290677E-2</v>
      </c>
      <c r="X20" s="14">
        <f t="shared" si="6"/>
        <v>2.6587887740029542E-2</v>
      </c>
      <c r="Y20" s="14">
        <f t="shared" si="6"/>
        <v>0</v>
      </c>
      <c r="Z20" s="14">
        <f t="shared" si="6"/>
        <v>0</v>
      </c>
      <c r="AA20" s="14">
        <f t="shared" si="6"/>
        <v>0</v>
      </c>
      <c r="AB20" s="14">
        <f t="shared" si="6"/>
        <v>0</v>
      </c>
      <c r="AC20" s="14">
        <f t="shared" si="6"/>
        <v>0</v>
      </c>
      <c r="AD20" s="14">
        <f t="shared" si="6"/>
        <v>0</v>
      </c>
      <c r="AE20" s="14">
        <f t="shared" si="6"/>
        <v>0</v>
      </c>
      <c r="AF20" s="14">
        <f t="shared" si="6"/>
        <v>0</v>
      </c>
      <c r="AG20" s="14">
        <f t="shared" si="6"/>
        <v>3.4836537609639409E-2</v>
      </c>
    </row>
    <row r="21" spans="1:33" ht="15" customHeight="1">
      <c r="B21" s="11" t="s">
        <v>16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/>
      <c r="Z21" s="12"/>
      <c r="AA21" s="12"/>
      <c r="AB21" s="12"/>
      <c r="AC21" s="12"/>
      <c r="AD21" s="12"/>
      <c r="AE21" s="12"/>
      <c r="AF21" s="12"/>
      <c r="AG21" s="30">
        <f t="shared" ref="AG21:AG33" si="7">+SUM(C21:AF21)</f>
        <v>0</v>
      </c>
    </row>
    <row r="22" spans="1:33" ht="15" customHeight="1">
      <c r="B22" s="9" t="s">
        <v>17</v>
      </c>
      <c r="C22" s="12">
        <v>2</v>
      </c>
      <c r="D22" s="12">
        <v>3</v>
      </c>
      <c r="E22" s="12">
        <v>8</v>
      </c>
      <c r="F22" s="12">
        <v>5</v>
      </c>
      <c r="G22" s="12">
        <v>3</v>
      </c>
      <c r="H22" s="12">
        <v>5</v>
      </c>
      <c r="I22" s="12">
        <v>3</v>
      </c>
      <c r="J22" s="12">
        <v>3</v>
      </c>
      <c r="K22" s="12">
        <f>1+1+3+9</f>
        <v>14</v>
      </c>
      <c r="L22" s="12">
        <v>2</v>
      </c>
      <c r="M22" s="12">
        <v>12</v>
      </c>
      <c r="N22" s="12">
        <v>14</v>
      </c>
      <c r="O22" s="12">
        <v>2</v>
      </c>
      <c r="P22" s="12">
        <v>8</v>
      </c>
      <c r="Q22" s="12">
        <v>4</v>
      </c>
      <c r="R22" s="12">
        <v>2</v>
      </c>
      <c r="S22" s="12">
        <v>0</v>
      </c>
      <c r="T22" s="12">
        <v>0</v>
      </c>
      <c r="U22" s="12">
        <v>3</v>
      </c>
      <c r="V22" s="12">
        <v>4</v>
      </c>
      <c r="W22" s="12">
        <v>6</v>
      </c>
      <c r="X22" s="12">
        <v>6</v>
      </c>
      <c r="Y22" s="12"/>
      <c r="Z22" s="12"/>
      <c r="AA22" s="12"/>
      <c r="AB22" s="12"/>
      <c r="AC22" s="12"/>
      <c r="AD22" s="12"/>
      <c r="AE22" s="12"/>
      <c r="AF22" s="12"/>
      <c r="AG22" s="30">
        <f t="shared" si="7"/>
        <v>109</v>
      </c>
    </row>
    <row r="23" spans="1:33" ht="15" customHeight="1">
      <c r="B23" s="11" t="s">
        <v>18</v>
      </c>
      <c r="C23" s="12">
        <v>0</v>
      </c>
      <c r="D23" s="12">
        <v>1</v>
      </c>
      <c r="E23" s="12">
        <v>0</v>
      </c>
      <c r="F23" s="12">
        <v>1</v>
      </c>
      <c r="G23" s="12">
        <v>0</v>
      </c>
      <c r="H23" s="12">
        <v>0</v>
      </c>
      <c r="I23" s="12">
        <v>0</v>
      </c>
      <c r="J23" s="12">
        <v>0</v>
      </c>
      <c r="K23" s="12">
        <v>1</v>
      </c>
      <c r="L23" s="12">
        <v>1</v>
      </c>
      <c r="M23" s="12">
        <v>1</v>
      </c>
      <c r="N23" s="12">
        <v>0</v>
      </c>
      <c r="O23" s="12">
        <v>0</v>
      </c>
      <c r="P23" s="12">
        <v>0</v>
      </c>
      <c r="Q23" s="12">
        <v>0</v>
      </c>
      <c r="R23" s="12">
        <v>2</v>
      </c>
      <c r="S23" s="12">
        <v>0</v>
      </c>
      <c r="T23" s="12">
        <v>1</v>
      </c>
      <c r="U23" s="12">
        <v>0</v>
      </c>
      <c r="V23" s="12">
        <v>0</v>
      </c>
      <c r="W23" s="12">
        <v>1</v>
      </c>
      <c r="X23" s="12">
        <v>0</v>
      </c>
      <c r="Y23" s="12"/>
      <c r="Z23" s="12"/>
      <c r="AA23" s="12"/>
      <c r="AB23" s="12"/>
      <c r="AC23" s="12"/>
      <c r="AD23" s="12"/>
      <c r="AE23" s="12"/>
      <c r="AF23" s="12"/>
      <c r="AG23" s="30">
        <f t="shared" si="7"/>
        <v>9</v>
      </c>
    </row>
    <row r="24" spans="1:33" ht="15" customHeight="1">
      <c r="B24" s="9" t="s">
        <v>19</v>
      </c>
      <c r="C24" s="12">
        <v>50</v>
      </c>
      <c r="D24" s="12">
        <v>56</v>
      </c>
      <c r="E24" s="12">
        <v>56</v>
      </c>
      <c r="F24" s="12">
        <v>58</v>
      </c>
      <c r="G24" s="12">
        <v>80</v>
      </c>
      <c r="H24" s="12">
        <v>98</v>
      </c>
      <c r="I24" s="12">
        <v>111</v>
      </c>
      <c r="J24" s="12">
        <v>87</v>
      </c>
      <c r="K24" s="12">
        <f>11+3+6+2+8+4</f>
        <v>34</v>
      </c>
      <c r="L24" s="12">
        <v>47</v>
      </c>
      <c r="M24" s="12">
        <v>60</v>
      </c>
      <c r="N24" s="12">
        <v>38</v>
      </c>
      <c r="O24" s="12">
        <v>41</v>
      </c>
      <c r="P24" s="12">
        <v>32</v>
      </c>
      <c r="Q24" s="12">
        <v>49</v>
      </c>
      <c r="R24" s="12">
        <v>45</v>
      </c>
      <c r="S24" s="12">
        <v>0</v>
      </c>
      <c r="T24" s="12">
        <v>37</v>
      </c>
      <c r="U24" s="12">
        <v>51</v>
      </c>
      <c r="V24" s="12">
        <v>55</v>
      </c>
      <c r="W24" s="12">
        <v>49</v>
      </c>
      <c r="X24" s="12">
        <v>46</v>
      </c>
      <c r="Y24" s="12"/>
      <c r="Z24" s="12"/>
      <c r="AA24" s="12"/>
      <c r="AB24" s="12"/>
      <c r="AC24" s="12"/>
      <c r="AD24" s="12"/>
      <c r="AE24" s="12"/>
      <c r="AF24" s="12"/>
      <c r="AG24" s="30">
        <f t="shared" si="7"/>
        <v>1180</v>
      </c>
    </row>
    <row r="25" spans="1:33" ht="13.9" customHeight="1">
      <c r="B25" s="11" t="s">
        <v>20</v>
      </c>
      <c r="C25" s="12">
        <v>4</v>
      </c>
      <c r="D25" s="12">
        <v>5</v>
      </c>
      <c r="E25" s="12">
        <v>5</v>
      </c>
      <c r="F25" s="12">
        <v>9</v>
      </c>
      <c r="G25" s="12">
        <v>2</v>
      </c>
      <c r="H25" s="12">
        <v>3</v>
      </c>
      <c r="I25" s="12">
        <v>6</v>
      </c>
      <c r="J25" s="8">
        <v>5</v>
      </c>
      <c r="K25" s="12">
        <f>2+1</f>
        <v>3</v>
      </c>
      <c r="L25" s="12">
        <v>4</v>
      </c>
      <c r="M25" s="12">
        <v>5</v>
      </c>
      <c r="N25" s="12">
        <v>0</v>
      </c>
      <c r="O25" s="12">
        <v>1</v>
      </c>
      <c r="P25" s="12">
        <v>6</v>
      </c>
      <c r="Q25" s="12">
        <v>2</v>
      </c>
      <c r="R25" s="12">
        <v>3</v>
      </c>
      <c r="S25" s="12">
        <v>0</v>
      </c>
      <c r="T25" s="12">
        <v>3</v>
      </c>
      <c r="U25" s="12">
        <v>2</v>
      </c>
      <c r="V25" s="12">
        <v>5</v>
      </c>
      <c r="W25" s="12">
        <v>5</v>
      </c>
      <c r="X25" s="12">
        <v>2</v>
      </c>
      <c r="Y25" s="12"/>
      <c r="Z25" s="12"/>
      <c r="AA25" s="12"/>
      <c r="AB25" s="12"/>
      <c r="AC25" s="12"/>
      <c r="AD25" s="12"/>
      <c r="AE25" s="12"/>
      <c r="AF25" s="12"/>
      <c r="AG25" s="30">
        <f t="shared" si="7"/>
        <v>80</v>
      </c>
    </row>
    <row r="26" spans="1:33" ht="15" customHeight="1">
      <c r="B26" s="11" t="s">
        <v>21</v>
      </c>
      <c r="C26" s="12">
        <v>0</v>
      </c>
      <c r="D26" s="12">
        <v>1</v>
      </c>
      <c r="E26" s="12">
        <v>0</v>
      </c>
      <c r="F26" s="12">
        <v>1</v>
      </c>
      <c r="G26" s="12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1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0</v>
      </c>
      <c r="Y26" s="12"/>
      <c r="Z26" s="12"/>
      <c r="AA26" s="12"/>
      <c r="AB26" s="12"/>
      <c r="AC26" s="12"/>
      <c r="AD26" s="12"/>
      <c r="AE26" s="12"/>
      <c r="AF26" s="12"/>
      <c r="AG26" s="30">
        <f t="shared" si="7"/>
        <v>7</v>
      </c>
    </row>
    <row r="27" spans="1:33" ht="15" customHeight="1">
      <c r="B27" s="11" t="s">
        <v>22</v>
      </c>
      <c r="C27" s="12">
        <v>5</v>
      </c>
      <c r="D27" s="12">
        <v>6</v>
      </c>
      <c r="E27" s="12">
        <v>11</v>
      </c>
      <c r="F27" s="12">
        <v>5</v>
      </c>
      <c r="G27" s="12">
        <v>3</v>
      </c>
      <c r="H27" s="12">
        <v>0</v>
      </c>
      <c r="I27" s="12">
        <v>3</v>
      </c>
      <c r="J27" s="12">
        <v>3</v>
      </c>
      <c r="K27" s="12">
        <f>2+1+1</f>
        <v>4</v>
      </c>
      <c r="L27" s="12">
        <v>3</v>
      </c>
      <c r="M27" s="12">
        <v>3</v>
      </c>
      <c r="N27" s="12">
        <v>5</v>
      </c>
      <c r="O27" s="12">
        <v>3</v>
      </c>
      <c r="P27" s="12">
        <v>1</v>
      </c>
      <c r="Q27" s="12">
        <v>4</v>
      </c>
      <c r="R27" s="12">
        <v>1</v>
      </c>
      <c r="S27" s="12">
        <v>0</v>
      </c>
      <c r="T27" s="12">
        <v>3</v>
      </c>
      <c r="U27" s="12">
        <v>2</v>
      </c>
      <c r="V27" s="12">
        <v>4</v>
      </c>
      <c r="W27" s="12">
        <v>7</v>
      </c>
      <c r="X27" s="12">
        <v>3</v>
      </c>
      <c r="Y27" s="12"/>
      <c r="Z27" s="12"/>
      <c r="AA27" s="12"/>
      <c r="AB27" s="12"/>
      <c r="AC27" s="12"/>
      <c r="AD27" s="12"/>
      <c r="AE27" s="12"/>
      <c r="AF27" s="12"/>
      <c r="AG27" s="30">
        <f t="shared" si="7"/>
        <v>79</v>
      </c>
    </row>
    <row r="28" spans="1:33" ht="15" customHeight="1">
      <c r="B28" s="11" t="s">
        <v>23</v>
      </c>
      <c r="C28" s="12">
        <v>2</v>
      </c>
      <c r="D28" s="12">
        <v>2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2">
        <v>1</v>
      </c>
      <c r="K28" s="12">
        <f>1+1+1</f>
        <v>3</v>
      </c>
      <c r="L28" s="12">
        <v>3</v>
      </c>
      <c r="M28" s="12">
        <v>3</v>
      </c>
      <c r="N28" s="12">
        <v>2</v>
      </c>
      <c r="O28" s="12">
        <v>1</v>
      </c>
      <c r="P28" s="12">
        <v>2</v>
      </c>
      <c r="Q28" s="12">
        <v>4</v>
      </c>
      <c r="R28" s="12">
        <v>3</v>
      </c>
      <c r="S28" s="12">
        <v>0</v>
      </c>
      <c r="T28" s="12">
        <v>1</v>
      </c>
      <c r="U28" s="12">
        <v>5</v>
      </c>
      <c r="V28" s="12">
        <v>2</v>
      </c>
      <c r="W28" s="12">
        <v>1</v>
      </c>
      <c r="X28" s="12">
        <v>1</v>
      </c>
      <c r="Y28" s="12"/>
      <c r="Z28" s="12"/>
      <c r="AA28" s="12"/>
      <c r="AB28" s="12"/>
      <c r="AC28" s="12"/>
      <c r="AD28" s="12"/>
      <c r="AE28" s="12"/>
      <c r="AF28" s="12"/>
      <c r="AG28" s="30">
        <f t="shared" si="7"/>
        <v>41</v>
      </c>
    </row>
    <row r="29" spans="1:33" ht="15" customHeight="1">
      <c r="B29" s="11" t="s">
        <v>24</v>
      </c>
      <c r="C29" s="12">
        <v>4</v>
      </c>
      <c r="D29" s="12">
        <v>5</v>
      </c>
      <c r="E29" s="12">
        <v>6</v>
      </c>
      <c r="F29" s="12">
        <v>12</v>
      </c>
      <c r="G29" s="12">
        <v>1</v>
      </c>
      <c r="H29" s="12">
        <v>0</v>
      </c>
      <c r="I29" s="12">
        <v>4</v>
      </c>
      <c r="J29" s="12">
        <v>13</v>
      </c>
      <c r="K29" s="12">
        <f>1+1+1+1</f>
        <v>4</v>
      </c>
      <c r="L29" s="12">
        <v>12</v>
      </c>
      <c r="M29" s="12">
        <v>6</v>
      </c>
      <c r="N29" s="12">
        <v>6</v>
      </c>
      <c r="O29" s="12">
        <v>3</v>
      </c>
      <c r="P29" s="12">
        <v>5</v>
      </c>
      <c r="Q29" s="12">
        <v>2</v>
      </c>
      <c r="R29" s="12">
        <v>2</v>
      </c>
      <c r="S29" s="12">
        <v>0</v>
      </c>
      <c r="T29" s="12">
        <v>4</v>
      </c>
      <c r="U29" s="12">
        <v>7</v>
      </c>
      <c r="V29" s="12">
        <v>3</v>
      </c>
      <c r="W29" s="12">
        <v>2</v>
      </c>
      <c r="X29" s="12">
        <v>4</v>
      </c>
      <c r="Y29" s="12"/>
      <c r="Z29" s="12"/>
      <c r="AA29" s="12"/>
      <c r="AB29" s="12"/>
      <c r="AC29" s="12"/>
      <c r="AD29" s="12"/>
      <c r="AE29" s="12"/>
      <c r="AF29" s="12"/>
      <c r="AG29" s="30">
        <f t="shared" si="7"/>
        <v>105</v>
      </c>
    </row>
    <row r="30" spans="1:33" ht="15" customHeight="1">
      <c r="B30" s="11" t="s">
        <v>25</v>
      </c>
      <c r="C30" s="12">
        <v>8</v>
      </c>
      <c r="D30" s="12">
        <v>2</v>
      </c>
      <c r="E30" s="12">
        <v>4</v>
      </c>
      <c r="F30" s="12">
        <v>3</v>
      </c>
      <c r="G30" s="12">
        <v>8</v>
      </c>
      <c r="H30" s="12">
        <v>1</v>
      </c>
      <c r="I30" s="12">
        <v>3</v>
      </c>
      <c r="J30" s="12">
        <v>0</v>
      </c>
      <c r="K30" s="12">
        <v>1</v>
      </c>
      <c r="L30" s="12">
        <v>1</v>
      </c>
      <c r="M30" s="12">
        <v>0</v>
      </c>
      <c r="N30" s="12">
        <v>2</v>
      </c>
      <c r="O30" s="12">
        <v>2</v>
      </c>
      <c r="P30" s="12">
        <v>5</v>
      </c>
      <c r="Q30" s="12">
        <v>3</v>
      </c>
      <c r="R30" s="12">
        <v>4</v>
      </c>
      <c r="S30" s="12">
        <v>0</v>
      </c>
      <c r="T30" s="12">
        <v>6</v>
      </c>
      <c r="U30" s="12">
        <v>1</v>
      </c>
      <c r="V30" s="12">
        <v>2</v>
      </c>
      <c r="W30" s="12">
        <v>5</v>
      </c>
      <c r="X30" s="12">
        <v>6</v>
      </c>
      <c r="Y30" s="12"/>
      <c r="Z30" s="12"/>
      <c r="AA30" s="12"/>
      <c r="AB30" s="12"/>
      <c r="AC30" s="12"/>
      <c r="AD30" s="12"/>
      <c r="AE30" s="12"/>
      <c r="AF30" s="12"/>
      <c r="AG30" s="30">
        <f t="shared" si="7"/>
        <v>67</v>
      </c>
    </row>
    <row r="31" spans="1:33" ht="15" customHeight="1">
      <c r="B31" s="11" t="s">
        <v>26</v>
      </c>
      <c r="C31" s="12">
        <v>6</v>
      </c>
      <c r="D31" s="12">
        <v>4</v>
      </c>
      <c r="E31" s="12">
        <v>4</v>
      </c>
      <c r="F31" s="12">
        <v>7</v>
      </c>
      <c r="G31" s="12">
        <v>3</v>
      </c>
      <c r="H31" s="12">
        <v>4</v>
      </c>
      <c r="I31" s="12">
        <v>4</v>
      </c>
      <c r="J31" s="12">
        <v>12</v>
      </c>
      <c r="K31" s="12">
        <f>4+2+1+1</f>
        <v>8</v>
      </c>
      <c r="L31" s="12">
        <v>4</v>
      </c>
      <c r="M31" s="12">
        <v>8</v>
      </c>
      <c r="N31" s="12">
        <v>2</v>
      </c>
      <c r="O31" s="12">
        <v>4</v>
      </c>
      <c r="P31" s="12">
        <v>6</v>
      </c>
      <c r="Q31" s="12">
        <v>4</v>
      </c>
      <c r="R31" s="12">
        <v>3</v>
      </c>
      <c r="S31" s="12">
        <v>0</v>
      </c>
      <c r="T31" s="12">
        <v>5</v>
      </c>
      <c r="U31" s="12">
        <v>6</v>
      </c>
      <c r="V31" s="12">
        <v>5</v>
      </c>
      <c r="W31" s="12">
        <v>3</v>
      </c>
      <c r="X31" s="12">
        <v>1</v>
      </c>
      <c r="Y31" s="12"/>
      <c r="Z31" s="12"/>
      <c r="AA31" s="12"/>
      <c r="AB31" s="12"/>
      <c r="AC31" s="12"/>
      <c r="AD31" s="12"/>
      <c r="AE31" s="12"/>
      <c r="AF31" s="12"/>
      <c r="AG31" s="30">
        <f t="shared" si="7"/>
        <v>103</v>
      </c>
    </row>
    <row r="32" spans="1:33" ht="15" customHeight="1">
      <c r="B32" s="11" t="s">
        <v>27</v>
      </c>
      <c r="C32" s="12">
        <v>2</v>
      </c>
      <c r="D32" s="12">
        <v>1</v>
      </c>
      <c r="E32" s="12">
        <v>0</v>
      </c>
      <c r="F32" s="12">
        <v>0</v>
      </c>
      <c r="G32" s="12">
        <v>2</v>
      </c>
      <c r="H32" s="12">
        <v>0</v>
      </c>
      <c r="I32" s="12">
        <v>2</v>
      </c>
      <c r="J32" s="12">
        <v>3</v>
      </c>
      <c r="K32" s="12">
        <v>1</v>
      </c>
      <c r="L32" s="12">
        <v>0</v>
      </c>
      <c r="M32" s="12">
        <v>0</v>
      </c>
      <c r="N32" s="12">
        <v>2</v>
      </c>
      <c r="O32" s="12">
        <v>1</v>
      </c>
      <c r="P32" s="12">
        <v>1</v>
      </c>
      <c r="Q32" s="12">
        <v>0</v>
      </c>
      <c r="R32" s="12">
        <v>1</v>
      </c>
      <c r="S32" s="12">
        <v>0</v>
      </c>
      <c r="T32" s="12">
        <v>0</v>
      </c>
      <c r="U32" s="12">
        <v>4</v>
      </c>
      <c r="V32" s="12">
        <v>0</v>
      </c>
      <c r="W32" s="12">
        <v>3</v>
      </c>
      <c r="X32" s="12">
        <v>1</v>
      </c>
      <c r="Y32" s="12"/>
      <c r="Z32" s="12"/>
      <c r="AA32" s="12"/>
      <c r="AB32" s="12"/>
      <c r="AC32" s="12"/>
      <c r="AD32" s="12"/>
      <c r="AE32" s="12"/>
      <c r="AF32" s="12"/>
      <c r="AG32" s="30">
        <f t="shared" si="7"/>
        <v>24</v>
      </c>
    </row>
    <row r="33" spans="1:33" ht="15" customHeight="1">
      <c r="B33" s="11" t="s">
        <v>28</v>
      </c>
      <c r="C33" s="12">
        <v>13</v>
      </c>
      <c r="D33" s="12">
        <v>5</v>
      </c>
      <c r="E33" s="12">
        <v>7</v>
      </c>
      <c r="F33" s="12">
        <v>7</v>
      </c>
      <c r="G33" s="12">
        <v>15</v>
      </c>
      <c r="H33" s="12">
        <v>2</v>
      </c>
      <c r="I33" s="12">
        <v>7</v>
      </c>
      <c r="J33" s="12">
        <v>8</v>
      </c>
      <c r="K33" s="12">
        <f>6+3+1+1+1</f>
        <v>12</v>
      </c>
      <c r="L33" s="12">
        <v>6</v>
      </c>
      <c r="M33" s="12">
        <v>18</v>
      </c>
      <c r="N33" s="12">
        <v>5</v>
      </c>
      <c r="O33" s="12">
        <v>12</v>
      </c>
      <c r="P33" s="12">
        <v>5</v>
      </c>
      <c r="Q33" s="12">
        <v>2</v>
      </c>
      <c r="R33" s="12">
        <v>8</v>
      </c>
      <c r="S33" s="12">
        <v>0</v>
      </c>
      <c r="T33" s="12">
        <v>11</v>
      </c>
      <c r="U33" s="12">
        <v>6</v>
      </c>
      <c r="V33" s="12">
        <v>8</v>
      </c>
      <c r="W33" s="12">
        <v>3</v>
      </c>
      <c r="X33" s="12">
        <v>2</v>
      </c>
      <c r="Y33" s="12"/>
      <c r="Z33" s="12"/>
      <c r="AA33" s="12"/>
      <c r="AB33" s="12"/>
      <c r="AC33" s="12"/>
      <c r="AD33" s="12"/>
      <c r="AE33" s="12"/>
      <c r="AF33" s="12"/>
      <c r="AG33" s="30">
        <f t="shared" si="7"/>
        <v>162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8"/>
      <c r="U35" s="28"/>
      <c r="V35" s="7"/>
    </row>
    <row r="36" spans="1:33" ht="15" customHeight="1">
      <c r="B36" s="46" t="s">
        <v>29</v>
      </c>
      <c r="C36" s="47"/>
      <c r="D36" s="4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v>2568</v>
      </c>
      <c r="D38" s="12">
        <v>2460</v>
      </c>
      <c r="E38" s="12">
        <v>2534</v>
      </c>
      <c r="F38" s="12">
        <v>2579</v>
      </c>
      <c r="G38" s="12">
        <v>2623</v>
      </c>
      <c r="H38" s="12">
        <v>2570</v>
      </c>
      <c r="I38" s="12">
        <v>2515</v>
      </c>
      <c r="J38" s="12">
        <v>2590</v>
      </c>
      <c r="K38" s="12">
        <v>2600</v>
      </c>
      <c r="L38" s="12">
        <v>2460</v>
      </c>
      <c r="M38" s="12">
        <v>2584</v>
      </c>
      <c r="N38" s="12">
        <v>2685</v>
      </c>
      <c r="O38" s="12">
        <v>2755</v>
      </c>
      <c r="P38" s="12">
        <v>2817</v>
      </c>
      <c r="Q38" s="12">
        <v>2654</v>
      </c>
      <c r="R38" s="12">
        <v>2580</v>
      </c>
      <c r="S38" s="12">
        <v>0</v>
      </c>
      <c r="T38" s="12">
        <v>2265</v>
      </c>
      <c r="U38" s="12">
        <v>2640</v>
      </c>
      <c r="V38" s="12">
        <v>2485</v>
      </c>
      <c r="W38" s="12">
        <v>2640</v>
      </c>
      <c r="X38" s="12">
        <v>2725</v>
      </c>
      <c r="Y38" s="12"/>
      <c r="Z38" s="12"/>
      <c r="AA38" s="12"/>
      <c r="AB38" s="12"/>
      <c r="AC38" s="34"/>
      <c r="AD38" s="12"/>
      <c r="AE38" s="12"/>
      <c r="AF38" s="12"/>
      <c r="AG38" s="30">
        <f>SUM(C38:AF38)</f>
        <v>54329</v>
      </c>
    </row>
    <row r="39" spans="1:33" ht="15" customHeight="1">
      <c r="B39" s="11" t="s">
        <v>4</v>
      </c>
      <c r="C39" s="18">
        <f t="shared" ref="C39:AG39" si="8">SUM(C41:C67)</f>
        <v>7</v>
      </c>
      <c r="D39" s="18">
        <f t="shared" si="8"/>
        <v>18</v>
      </c>
      <c r="E39" s="18">
        <f t="shared" si="8"/>
        <v>15</v>
      </c>
      <c r="F39" s="18">
        <f t="shared" si="8"/>
        <v>18</v>
      </c>
      <c r="G39" s="18">
        <f t="shared" si="8"/>
        <v>19</v>
      </c>
      <c r="H39" s="18">
        <f t="shared" si="8"/>
        <v>21</v>
      </c>
      <c r="I39" s="18">
        <f t="shared" si="8"/>
        <v>23</v>
      </c>
      <c r="J39" s="18">
        <f t="shared" si="8"/>
        <v>16</v>
      </c>
      <c r="K39" s="18">
        <f t="shared" si="8"/>
        <v>20</v>
      </c>
      <c r="L39" s="18">
        <f t="shared" si="8"/>
        <v>23</v>
      </c>
      <c r="M39" s="18">
        <f t="shared" si="8"/>
        <v>20</v>
      </c>
      <c r="N39" s="18">
        <f t="shared" si="8"/>
        <v>24</v>
      </c>
      <c r="O39" s="18">
        <f t="shared" si="8"/>
        <v>14</v>
      </c>
      <c r="P39" s="18">
        <f t="shared" si="8"/>
        <v>17</v>
      </c>
      <c r="Q39" s="18">
        <f t="shared" si="8"/>
        <v>10</v>
      </c>
      <c r="R39" s="18">
        <f t="shared" ref="R39" si="9">SUM(R41:R67)</f>
        <v>15</v>
      </c>
      <c r="S39" s="18">
        <f t="shared" si="8"/>
        <v>0</v>
      </c>
      <c r="T39" s="18">
        <f t="shared" si="8"/>
        <v>18</v>
      </c>
      <c r="U39" s="18">
        <f t="shared" si="8"/>
        <v>21</v>
      </c>
      <c r="V39" s="18">
        <f t="shared" si="8"/>
        <v>2</v>
      </c>
      <c r="W39" s="18">
        <f t="shared" si="8"/>
        <v>15</v>
      </c>
      <c r="X39" s="18">
        <f t="shared" si="8"/>
        <v>17</v>
      </c>
      <c r="Y39" s="18">
        <f t="shared" si="8"/>
        <v>0</v>
      </c>
      <c r="Z39" s="18">
        <f t="shared" si="8"/>
        <v>0</v>
      </c>
      <c r="AA39" s="18">
        <f t="shared" si="8"/>
        <v>0</v>
      </c>
      <c r="AB39" s="18">
        <f t="shared" si="8"/>
        <v>0</v>
      </c>
      <c r="AC39" s="18">
        <f t="shared" si="8"/>
        <v>0</v>
      </c>
      <c r="AD39" s="18">
        <f t="shared" si="8"/>
        <v>0</v>
      </c>
      <c r="AE39" s="18">
        <f t="shared" si="8"/>
        <v>0</v>
      </c>
      <c r="AF39" s="18">
        <f t="shared" si="8"/>
        <v>0</v>
      </c>
      <c r="AG39" s="12">
        <f t="shared" si="8"/>
        <v>353</v>
      </c>
    </row>
    <row r="40" spans="1:33" s="6" customFormat="1" ht="15" customHeight="1">
      <c r="A40" s="6" t="s">
        <v>15</v>
      </c>
      <c r="B40" s="19" t="s">
        <v>5</v>
      </c>
      <c r="C40" s="20">
        <f t="shared" ref="C40:AG40" si="10">IF(C38=0,0,(C39/C38))</f>
        <v>2.7258566978193145E-3</v>
      </c>
      <c r="D40" s="20">
        <f t="shared" si="10"/>
        <v>7.3170731707317077E-3</v>
      </c>
      <c r="E40" s="20">
        <f t="shared" si="10"/>
        <v>5.9194948697711127E-3</v>
      </c>
      <c r="F40" s="20">
        <f t="shared" si="10"/>
        <v>6.9794493989918573E-3</v>
      </c>
      <c r="G40" s="20">
        <f t="shared" si="10"/>
        <v>7.2436141822340835E-3</v>
      </c>
      <c r="H40" s="20">
        <f t="shared" si="10"/>
        <v>8.1712062256809343E-3</v>
      </c>
      <c r="I40" s="20">
        <f t="shared" si="10"/>
        <v>9.145129224652087E-3</v>
      </c>
      <c r="J40" s="20">
        <f t="shared" si="10"/>
        <v>6.1776061776061776E-3</v>
      </c>
      <c r="K40" s="20">
        <f t="shared" si="10"/>
        <v>7.6923076923076927E-3</v>
      </c>
      <c r="L40" s="20">
        <f t="shared" si="10"/>
        <v>9.3495934959349596E-3</v>
      </c>
      <c r="M40" s="20">
        <f t="shared" si="10"/>
        <v>7.7399380804953561E-3</v>
      </c>
      <c r="N40" s="20">
        <f t="shared" si="10"/>
        <v>8.9385474860335188E-3</v>
      </c>
      <c r="O40" s="20">
        <f t="shared" si="10"/>
        <v>5.0816696914700544E-3</v>
      </c>
      <c r="P40" s="20">
        <f t="shared" si="10"/>
        <v>6.0347887823926161E-3</v>
      </c>
      <c r="Q40" s="20">
        <f t="shared" si="10"/>
        <v>3.7678975131876413E-3</v>
      </c>
      <c r="R40" s="20">
        <f t="shared" si="10"/>
        <v>5.8139534883720929E-3</v>
      </c>
      <c r="S40" s="20">
        <f t="shared" si="10"/>
        <v>0</v>
      </c>
      <c r="T40" s="20">
        <f t="shared" si="10"/>
        <v>7.9470198675496689E-3</v>
      </c>
      <c r="U40" s="20">
        <f t="shared" si="10"/>
        <v>7.9545454545454537E-3</v>
      </c>
      <c r="V40" s="20">
        <f t="shared" si="10"/>
        <v>8.0482897384305833E-4</v>
      </c>
      <c r="W40" s="20">
        <f t="shared" si="10"/>
        <v>5.681818181818182E-3</v>
      </c>
      <c r="X40" s="20">
        <f t="shared" si="10"/>
        <v>6.2385321100917428E-3</v>
      </c>
      <c r="Y40" s="20">
        <f t="shared" si="10"/>
        <v>0</v>
      </c>
      <c r="Z40" s="20">
        <f t="shared" si="10"/>
        <v>0</v>
      </c>
      <c r="AA40" s="20">
        <f t="shared" si="10"/>
        <v>0</v>
      </c>
      <c r="AB40" s="20">
        <f t="shared" si="10"/>
        <v>0</v>
      </c>
      <c r="AC40" s="20">
        <f t="shared" si="10"/>
        <v>0</v>
      </c>
      <c r="AD40" s="20">
        <f t="shared" si="10"/>
        <v>0</v>
      </c>
      <c r="AE40" s="20">
        <f t="shared" si="10"/>
        <v>0</v>
      </c>
      <c r="AF40" s="20">
        <f t="shared" si="10"/>
        <v>0</v>
      </c>
      <c r="AG40" s="14">
        <f t="shared" si="10"/>
        <v>6.497450716928344E-3</v>
      </c>
    </row>
    <row r="41" spans="1:33" ht="15" customHeight="1">
      <c r="B41" s="9" t="s">
        <v>30</v>
      </c>
      <c r="C41" s="12">
        <v>3</v>
      </c>
      <c r="D41" s="12">
        <v>6</v>
      </c>
      <c r="E41" s="12">
        <v>5</v>
      </c>
      <c r="F41" s="12">
        <v>2</v>
      </c>
      <c r="G41" s="12">
        <v>2</v>
      </c>
      <c r="H41" s="12">
        <v>4</v>
      </c>
      <c r="I41" s="12">
        <v>6</v>
      </c>
      <c r="J41" s="12">
        <v>1</v>
      </c>
      <c r="K41" s="12">
        <v>7</v>
      </c>
      <c r="L41" s="12">
        <v>0</v>
      </c>
      <c r="M41" s="12">
        <v>2</v>
      </c>
      <c r="N41" s="12">
        <v>1</v>
      </c>
      <c r="O41" s="12">
        <v>2</v>
      </c>
      <c r="P41" s="12">
        <v>1</v>
      </c>
      <c r="Q41" s="12">
        <v>4</v>
      </c>
      <c r="R41" s="12">
        <v>1</v>
      </c>
      <c r="S41" s="12">
        <v>0</v>
      </c>
      <c r="T41" s="12">
        <v>3</v>
      </c>
      <c r="U41" s="12">
        <v>7</v>
      </c>
      <c r="V41" s="12">
        <v>0</v>
      </c>
      <c r="W41" s="12">
        <v>0</v>
      </c>
      <c r="X41" s="12">
        <v>2</v>
      </c>
      <c r="Y41" s="12"/>
      <c r="Z41" s="12"/>
      <c r="AA41" s="12"/>
      <c r="AB41" s="12"/>
      <c r="AC41" s="12"/>
      <c r="AD41" s="12"/>
      <c r="AE41" s="12"/>
      <c r="AF41" s="12"/>
      <c r="AG41" s="30">
        <f t="shared" ref="AG41:AG67" si="11">+SUM(C41:AF41)</f>
        <v>59</v>
      </c>
    </row>
    <row r="42" spans="1:33" ht="15" customHeight="1">
      <c r="B42" s="21" t="s">
        <v>31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/>
      <c r="Z42" s="12"/>
      <c r="AA42" s="12"/>
      <c r="AB42" s="12"/>
      <c r="AC42" s="12"/>
      <c r="AD42" s="12"/>
      <c r="AE42" s="12"/>
      <c r="AF42" s="12"/>
      <c r="AG42" s="30">
        <f t="shared" si="11"/>
        <v>0</v>
      </c>
    </row>
    <row r="43" spans="1:33" ht="15" customHeight="1">
      <c r="B43" s="21" t="s">
        <v>32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/>
      <c r="Z43" s="12"/>
      <c r="AA43" s="12"/>
      <c r="AB43" s="12"/>
      <c r="AC43" s="12"/>
      <c r="AD43" s="12"/>
      <c r="AE43" s="12"/>
      <c r="AF43" s="12"/>
      <c r="AG43" s="30">
        <f t="shared" si="11"/>
        <v>0</v>
      </c>
    </row>
    <row r="44" spans="1:33" ht="15" customHeight="1">
      <c r="B44" s="9" t="s">
        <v>17</v>
      </c>
      <c r="C44" s="12">
        <v>1</v>
      </c>
      <c r="D44" s="12">
        <v>1</v>
      </c>
      <c r="E44" s="12">
        <v>1</v>
      </c>
      <c r="F44" s="12">
        <v>0</v>
      </c>
      <c r="G44" s="12">
        <v>0</v>
      </c>
      <c r="H44" s="12">
        <v>0</v>
      </c>
      <c r="I44" s="12">
        <v>1</v>
      </c>
      <c r="J44" s="12">
        <v>0</v>
      </c>
      <c r="K44" s="12">
        <v>0</v>
      </c>
      <c r="L44" s="12">
        <v>2</v>
      </c>
      <c r="M44" s="12">
        <v>1</v>
      </c>
      <c r="N44" s="12">
        <v>0</v>
      </c>
      <c r="O44" s="12">
        <v>0</v>
      </c>
      <c r="P44" s="12">
        <v>1</v>
      </c>
      <c r="Q44" s="12">
        <v>0</v>
      </c>
      <c r="R44" s="12">
        <v>0</v>
      </c>
      <c r="S44" s="12">
        <v>0</v>
      </c>
      <c r="T44" s="12">
        <v>1</v>
      </c>
      <c r="U44" s="12">
        <v>1</v>
      </c>
      <c r="V44" s="12">
        <v>0</v>
      </c>
      <c r="W44" s="12">
        <v>0</v>
      </c>
      <c r="X44" s="12">
        <v>1</v>
      </c>
      <c r="Y44" s="12"/>
      <c r="Z44" s="12"/>
      <c r="AA44" s="12"/>
      <c r="AB44" s="12"/>
      <c r="AC44" s="12"/>
      <c r="AD44" s="12"/>
      <c r="AE44" s="12"/>
      <c r="AF44" s="12"/>
      <c r="AG44" s="30">
        <f t="shared" si="11"/>
        <v>11</v>
      </c>
    </row>
    <row r="45" spans="1:33" ht="15" customHeight="1">
      <c r="B45" s="9" t="s">
        <v>33</v>
      </c>
      <c r="C45" s="12">
        <v>0</v>
      </c>
      <c r="D45" s="12">
        <v>3</v>
      </c>
      <c r="E45" s="12">
        <v>4</v>
      </c>
      <c r="F45" s="12">
        <v>3</v>
      </c>
      <c r="G45" s="12">
        <v>5</v>
      </c>
      <c r="H45" s="12">
        <v>3</v>
      </c>
      <c r="I45" s="12">
        <v>4</v>
      </c>
      <c r="J45" s="12">
        <v>4</v>
      </c>
      <c r="K45" s="12">
        <v>5</v>
      </c>
      <c r="L45" s="12">
        <v>9</v>
      </c>
      <c r="M45" s="12">
        <v>1</v>
      </c>
      <c r="N45" s="12">
        <v>3</v>
      </c>
      <c r="O45" s="12">
        <v>1</v>
      </c>
      <c r="P45" s="12">
        <v>6</v>
      </c>
      <c r="Q45" s="12">
        <v>2</v>
      </c>
      <c r="R45" s="12">
        <v>8</v>
      </c>
      <c r="S45" s="12">
        <v>0</v>
      </c>
      <c r="T45" s="12">
        <v>5</v>
      </c>
      <c r="U45" s="12">
        <v>0</v>
      </c>
      <c r="V45" s="12">
        <v>0</v>
      </c>
      <c r="W45" s="12">
        <v>7</v>
      </c>
      <c r="X45" s="12">
        <v>3</v>
      </c>
      <c r="Y45" s="12"/>
      <c r="Z45" s="12"/>
      <c r="AA45" s="29"/>
      <c r="AB45" s="29"/>
      <c r="AC45" s="29"/>
      <c r="AD45" s="12"/>
      <c r="AE45" s="29"/>
      <c r="AF45" s="29"/>
      <c r="AG45" s="30">
        <f t="shared" si="11"/>
        <v>76</v>
      </c>
    </row>
    <row r="46" spans="1:33" ht="15" customHeight="1">
      <c r="B46" s="9" t="s">
        <v>34</v>
      </c>
      <c r="C46" s="12">
        <v>1</v>
      </c>
      <c r="D46" s="12">
        <v>1</v>
      </c>
      <c r="E46" s="12">
        <v>1</v>
      </c>
      <c r="F46" s="12">
        <v>0</v>
      </c>
      <c r="G46" s="12">
        <v>0</v>
      </c>
      <c r="H46" s="12">
        <v>0</v>
      </c>
      <c r="I46" s="12">
        <v>1</v>
      </c>
      <c r="J46" s="12">
        <v>1</v>
      </c>
      <c r="K46" s="12">
        <v>0</v>
      </c>
      <c r="L46" s="12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/>
      <c r="Z46" s="12"/>
      <c r="AA46" s="12"/>
      <c r="AB46" s="12"/>
      <c r="AC46" s="12"/>
      <c r="AD46" s="12"/>
      <c r="AE46" s="12"/>
      <c r="AF46" s="12"/>
      <c r="AG46" s="30">
        <f t="shared" si="11"/>
        <v>7</v>
      </c>
    </row>
    <row r="47" spans="1:33" ht="15" customHeight="1">
      <c r="B47" s="11" t="s">
        <v>20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2</v>
      </c>
      <c r="K47" s="12">
        <v>0</v>
      </c>
      <c r="L47" s="12">
        <v>0</v>
      </c>
      <c r="M47" s="12">
        <v>0</v>
      </c>
      <c r="N47" s="12">
        <v>1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/>
      <c r="Z47" s="12"/>
      <c r="AA47" s="12"/>
      <c r="AB47" s="12"/>
      <c r="AC47" s="12"/>
      <c r="AD47" s="12"/>
      <c r="AE47" s="12"/>
      <c r="AF47" s="12"/>
      <c r="AG47" s="30">
        <f t="shared" si="11"/>
        <v>4</v>
      </c>
    </row>
    <row r="48" spans="1:33" ht="15" customHeight="1">
      <c r="B48" s="9" t="s">
        <v>35</v>
      </c>
      <c r="C48" s="12">
        <v>0</v>
      </c>
      <c r="D48" s="12">
        <v>2</v>
      </c>
      <c r="E48" s="12">
        <v>2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</v>
      </c>
      <c r="N48" s="12">
        <v>0</v>
      </c>
      <c r="O48" s="12">
        <v>0</v>
      </c>
      <c r="P48" s="12">
        <v>3</v>
      </c>
      <c r="Q48" s="12">
        <v>0</v>
      </c>
      <c r="R48" s="12">
        <v>3</v>
      </c>
      <c r="S48" s="12">
        <v>0</v>
      </c>
      <c r="T48" s="12">
        <v>0</v>
      </c>
      <c r="U48" s="12">
        <v>0</v>
      </c>
      <c r="V48" s="12">
        <v>0</v>
      </c>
      <c r="W48" s="12">
        <v>3</v>
      </c>
      <c r="X48" s="12">
        <v>0</v>
      </c>
      <c r="Y48" s="12"/>
      <c r="Z48" s="12"/>
      <c r="AA48" s="12"/>
      <c r="AB48" s="12"/>
      <c r="AC48" s="12"/>
      <c r="AD48" s="12"/>
      <c r="AE48" s="12"/>
      <c r="AF48" s="12"/>
      <c r="AG48" s="30">
        <f t="shared" si="11"/>
        <v>14</v>
      </c>
    </row>
    <row r="49" spans="2:33" ht="15" customHeight="1">
      <c r="B49" s="9" t="s">
        <v>28</v>
      </c>
      <c r="C49" s="12">
        <v>2</v>
      </c>
      <c r="D49" s="12">
        <v>2</v>
      </c>
      <c r="E49" s="12">
        <v>0</v>
      </c>
      <c r="F49" s="12">
        <v>2</v>
      </c>
      <c r="G49" s="12">
        <v>10</v>
      </c>
      <c r="H49" s="12">
        <v>6</v>
      </c>
      <c r="I49" s="12">
        <v>2</v>
      </c>
      <c r="J49" s="12">
        <v>3</v>
      </c>
      <c r="K49" s="12">
        <v>4</v>
      </c>
      <c r="L49" s="12">
        <v>4</v>
      </c>
      <c r="M49" s="12">
        <v>7</v>
      </c>
      <c r="N49" s="12">
        <v>1</v>
      </c>
      <c r="O49" s="12">
        <v>8</v>
      </c>
      <c r="P49" s="12">
        <v>1</v>
      </c>
      <c r="Q49" s="12">
        <v>0</v>
      </c>
      <c r="R49" s="12">
        <v>2</v>
      </c>
      <c r="S49" s="12">
        <v>0</v>
      </c>
      <c r="T49" s="12">
        <v>3</v>
      </c>
      <c r="U49" s="12">
        <v>2</v>
      </c>
      <c r="V49" s="12">
        <v>1</v>
      </c>
      <c r="W49" s="12">
        <v>1</v>
      </c>
      <c r="X49" s="12">
        <v>5</v>
      </c>
      <c r="Y49" s="12"/>
      <c r="Z49" s="12"/>
      <c r="AA49" s="12"/>
      <c r="AB49" s="12"/>
      <c r="AC49" s="12"/>
      <c r="AD49" s="12"/>
      <c r="AE49" s="12"/>
      <c r="AF49" s="12"/>
      <c r="AG49" s="30">
        <f t="shared" si="11"/>
        <v>66</v>
      </c>
    </row>
    <row r="50" spans="2:33" ht="15" customHeight="1">
      <c r="B50" s="9" t="s">
        <v>86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1</v>
      </c>
      <c r="Q50" s="12">
        <v>0</v>
      </c>
      <c r="R50" s="12">
        <v>0</v>
      </c>
      <c r="S50" s="12">
        <v>0</v>
      </c>
      <c r="T50" s="12">
        <v>2</v>
      </c>
      <c r="U50" s="12">
        <v>2</v>
      </c>
      <c r="V50" s="12">
        <v>0</v>
      </c>
      <c r="W50" s="12">
        <v>0</v>
      </c>
      <c r="X50" s="12">
        <v>0</v>
      </c>
      <c r="Y50" s="12"/>
      <c r="Z50" s="12"/>
      <c r="AA50" s="12"/>
      <c r="AB50" s="12"/>
      <c r="AC50" s="12"/>
      <c r="AD50" s="12"/>
      <c r="AE50" s="12"/>
      <c r="AF50" s="12"/>
      <c r="AG50" s="30">
        <f t="shared" si="11"/>
        <v>6</v>
      </c>
    </row>
    <row r="51" spans="2:33" ht="15" customHeight="1">
      <c r="B51" s="9" t="s">
        <v>37</v>
      </c>
      <c r="C51" s="12">
        <v>0</v>
      </c>
      <c r="D51" s="12">
        <v>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/>
      <c r="Z51" s="12"/>
      <c r="AA51" s="12"/>
      <c r="AB51" s="12"/>
      <c r="AC51" s="12"/>
      <c r="AD51" s="12"/>
      <c r="AE51" s="12"/>
      <c r="AF51" s="12"/>
      <c r="AG51" s="30">
        <f t="shared" si="11"/>
        <v>1</v>
      </c>
    </row>
    <row r="52" spans="2:33" ht="15" customHeight="1">
      <c r="B52" s="9" t="s">
        <v>38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3</v>
      </c>
      <c r="V52" s="12">
        <v>0</v>
      </c>
      <c r="W52" s="12">
        <v>0</v>
      </c>
      <c r="X52" s="12">
        <v>0</v>
      </c>
      <c r="Y52" s="12"/>
      <c r="Z52" s="12"/>
      <c r="AA52" s="12"/>
      <c r="AB52" s="12"/>
      <c r="AC52" s="12"/>
      <c r="AD52" s="12"/>
      <c r="AE52" s="12"/>
      <c r="AF52" s="12"/>
      <c r="AG52" s="30">
        <f t="shared" si="11"/>
        <v>3</v>
      </c>
    </row>
    <row r="53" spans="2:33" ht="15" customHeight="1">
      <c r="B53" s="9" t="s">
        <v>39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/>
      <c r="Z53" s="12"/>
      <c r="AA53" s="12"/>
      <c r="AB53" s="12"/>
      <c r="AC53" s="12"/>
      <c r="AD53" s="12"/>
      <c r="AE53" s="12"/>
      <c r="AF53" s="12"/>
      <c r="AG53" s="30">
        <f t="shared" si="11"/>
        <v>0</v>
      </c>
    </row>
    <row r="54" spans="2:33" ht="15" customHeight="1">
      <c r="B54" s="9" t="s">
        <v>22</v>
      </c>
      <c r="C54" s="12">
        <v>0</v>
      </c>
      <c r="D54" s="12">
        <v>0</v>
      </c>
      <c r="E54" s="12">
        <v>0</v>
      </c>
      <c r="F54" s="12">
        <v>0</v>
      </c>
      <c r="G54" s="12">
        <v>1</v>
      </c>
      <c r="H54" s="12">
        <v>2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</v>
      </c>
      <c r="X54" s="12">
        <v>1</v>
      </c>
      <c r="Y54" s="12"/>
      <c r="Z54" s="12"/>
      <c r="AA54" s="12"/>
      <c r="AB54" s="12"/>
      <c r="AC54" s="12"/>
      <c r="AD54" s="12"/>
      <c r="AE54" s="12"/>
      <c r="AF54" s="12"/>
      <c r="AG54" s="30">
        <f t="shared" si="11"/>
        <v>6</v>
      </c>
    </row>
    <row r="55" spans="2:33" ht="15" customHeight="1">
      <c r="B55" s="9" t="s">
        <v>40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1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/>
      <c r="Z55" s="12"/>
      <c r="AA55" s="12"/>
      <c r="AB55" s="12"/>
      <c r="AC55" s="12"/>
      <c r="AD55" s="12"/>
      <c r="AE55" s="12"/>
      <c r="AF55" s="12"/>
      <c r="AG55" s="30">
        <f t="shared" si="11"/>
        <v>1</v>
      </c>
    </row>
    <row r="56" spans="2:33" ht="15" customHeight="1">
      <c r="B56" s="9" t="s">
        <v>24</v>
      </c>
      <c r="C56" s="12">
        <v>0</v>
      </c>
      <c r="D56" s="12">
        <v>1</v>
      </c>
      <c r="E56" s="12">
        <v>0</v>
      </c>
      <c r="F56" s="12">
        <v>1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1</v>
      </c>
      <c r="M56" s="12">
        <v>2</v>
      </c>
      <c r="N56" s="12">
        <v>0</v>
      </c>
      <c r="O56" s="12">
        <v>0</v>
      </c>
      <c r="P56" s="12">
        <v>1</v>
      </c>
      <c r="Q56" s="12">
        <v>2</v>
      </c>
      <c r="R56" s="12">
        <v>0</v>
      </c>
      <c r="S56" s="12">
        <v>0</v>
      </c>
      <c r="T56" s="12">
        <v>1</v>
      </c>
      <c r="U56" s="12">
        <v>3</v>
      </c>
      <c r="V56" s="12">
        <v>0</v>
      </c>
      <c r="W56" s="12">
        <v>1</v>
      </c>
      <c r="X56" s="12">
        <v>1</v>
      </c>
      <c r="Y56" s="12"/>
      <c r="Z56" s="12"/>
      <c r="AA56" s="12"/>
      <c r="AB56" s="12"/>
      <c r="AC56" s="12"/>
      <c r="AD56" s="12"/>
      <c r="AE56" s="12"/>
      <c r="AF56" s="12"/>
      <c r="AG56" s="30">
        <f t="shared" si="11"/>
        <v>14</v>
      </c>
    </row>
    <row r="57" spans="2:33" ht="15" customHeight="1">
      <c r="B57" s="9" t="s">
        <v>41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/>
      <c r="Z57" s="12"/>
      <c r="AA57" s="12"/>
      <c r="AB57" s="12"/>
      <c r="AC57" s="12"/>
      <c r="AD57" s="12"/>
      <c r="AE57" s="12"/>
      <c r="AF57" s="12"/>
      <c r="AG57" s="30">
        <f t="shared" si="11"/>
        <v>0</v>
      </c>
    </row>
    <row r="58" spans="2:33" ht="15" customHeight="1">
      <c r="B58" s="9" t="s">
        <v>42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/>
      <c r="Z58" s="12"/>
      <c r="AA58" s="12"/>
      <c r="AB58" s="12"/>
      <c r="AC58" s="12"/>
      <c r="AD58" s="12"/>
      <c r="AE58" s="12"/>
      <c r="AF58" s="12"/>
      <c r="AG58" s="30">
        <f t="shared" si="11"/>
        <v>1</v>
      </c>
    </row>
    <row r="59" spans="2:33" ht="15" customHeight="1">
      <c r="B59" s="9" t="s">
        <v>19</v>
      </c>
      <c r="C59" s="12">
        <v>0</v>
      </c>
      <c r="D59" s="12">
        <v>0</v>
      </c>
      <c r="E59" s="12">
        <v>0</v>
      </c>
      <c r="F59" s="12">
        <v>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1</v>
      </c>
      <c r="X59" s="12">
        <v>0</v>
      </c>
      <c r="Y59" s="12"/>
      <c r="Z59" s="12"/>
      <c r="AA59" s="12"/>
      <c r="AB59" s="12"/>
      <c r="AC59" s="12"/>
      <c r="AD59" s="12"/>
      <c r="AE59" s="12"/>
      <c r="AF59" s="12"/>
      <c r="AG59" s="30">
        <f t="shared" si="11"/>
        <v>2</v>
      </c>
    </row>
    <row r="60" spans="2:33" ht="15" customHeight="1">
      <c r="B60" s="21" t="s">
        <v>12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/>
      <c r="Z60" s="12"/>
      <c r="AA60" s="12"/>
      <c r="AB60" s="12"/>
      <c r="AC60" s="12"/>
      <c r="AD60" s="12"/>
      <c r="AE60" s="12"/>
      <c r="AF60" s="12"/>
      <c r="AG60" s="30">
        <f t="shared" si="11"/>
        <v>0</v>
      </c>
    </row>
    <row r="61" spans="2:33" ht="15" customHeight="1">
      <c r="B61" s="9" t="s">
        <v>43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8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/>
      <c r="Z61" s="12"/>
      <c r="AA61" s="12"/>
      <c r="AB61" s="12"/>
      <c r="AC61" s="12"/>
      <c r="AD61" s="12"/>
      <c r="AE61" s="12"/>
      <c r="AF61" s="12"/>
      <c r="AG61" s="30">
        <f t="shared" si="11"/>
        <v>8</v>
      </c>
    </row>
    <row r="62" spans="2:33" ht="15" customHeight="1">
      <c r="B62" s="9" t="s">
        <v>44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/>
      <c r="Z62" s="12"/>
      <c r="AA62" s="12"/>
      <c r="AB62" s="12"/>
      <c r="AC62" s="12"/>
      <c r="AD62" s="12"/>
      <c r="AE62" s="12"/>
      <c r="AF62" s="12"/>
      <c r="AG62" s="30">
        <f t="shared" si="11"/>
        <v>2</v>
      </c>
    </row>
    <row r="63" spans="2:33" ht="15" customHeight="1">
      <c r="B63" s="9" t="s">
        <v>26</v>
      </c>
      <c r="C63" s="12">
        <v>0</v>
      </c>
      <c r="D63" s="12">
        <v>0</v>
      </c>
      <c r="E63" s="12">
        <v>1</v>
      </c>
      <c r="F63" s="12">
        <v>2</v>
      </c>
      <c r="G63" s="12">
        <v>0</v>
      </c>
      <c r="H63" s="12">
        <v>1</v>
      </c>
      <c r="I63" s="12">
        <v>2</v>
      </c>
      <c r="J63" s="12">
        <v>0</v>
      </c>
      <c r="K63" s="12">
        <v>0</v>
      </c>
      <c r="L63" s="12">
        <v>1</v>
      </c>
      <c r="M63" s="12">
        <v>3</v>
      </c>
      <c r="N63" s="12">
        <v>4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/>
      <c r="Z63" s="12"/>
      <c r="AA63" s="12"/>
      <c r="AB63" s="12"/>
      <c r="AC63" s="12"/>
      <c r="AD63" s="12"/>
      <c r="AE63" s="12"/>
      <c r="AF63" s="12"/>
      <c r="AG63" s="30">
        <f t="shared" si="11"/>
        <v>14</v>
      </c>
    </row>
    <row r="64" spans="2:33" ht="15" customHeight="1">
      <c r="B64" s="21" t="s">
        <v>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/>
      <c r="Z64" s="12"/>
      <c r="AA64" s="12"/>
      <c r="AB64" s="12"/>
      <c r="AC64" s="12"/>
      <c r="AD64" s="12"/>
      <c r="AE64" s="12"/>
      <c r="AF64" s="12"/>
      <c r="AG64" s="30">
        <f t="shared" si="11"/>
        <v>0</v>
      </c>
    </row>
    <row r="65" spans="1:33" ht="15" customHeight="1">
      <c r="B65" s="21" t="s">
        <v>45</v>
      </c>
      <c r="C65" s="12">
        <v>0</v>
      </c>
      <c r="D65" s="12">
        <v>1</v>
      </c>
      <c r="E65" s="12">
        <v>0</v>
      </c>
      <c r="F65" s="12">
        <v>1</v>
      </c>
      <c r="G65" s="12">
        <v>1</v>
      </c>
      <c r="H65" s="12">
        <v>2</v>
      </c>
      <c r="I65" s="12">
        <v>5</v>
      </c>
      <c r="J65" s="12">
        <v>3</v>
      </c>
      <c r="K65" s="12">
        <v>1</v>
      </c>
      <c r="L65" s="12">
        <v>2</v>
      </c>
      <c r="M65" s="12">
        <v>3</v>
      </c>
      <c r="N65" s="12">
        <v>2</v>
      </c>
      <c r="O65" s="12">
        <v>0</v>
      </c>
      <c r="P65" s="12">
        <v>1</v>
      </c>
      <c r="Q65" s="12">
        <v>2</v>
      </c>
      <c r="R65" s="12">
        <v>0</v>
      </c>
      <c r="S65" s="12">
        <v>0</v>
      </c>
      <c r="T65" s="12">
        <v>1</v>
      </c>
      <c r="U65" s="12">
        <v>0</v>
      </c>
      <c r="V65" s="12">
        <v>0</v>
      </c>
      <c r="W65" s="12">
        <v>0</v>
      </c>
      <c r="X65" s="12">
        <v>0</v>
      </c>
      <c r="Y65" s="12"/>
      <c r="Z65" s="12"/>
      <c r="AA65" s="12"/>
      <c r="AB65" s="12"/>
      <c r="AC65" s="12"/>
      <c r="AD65" s="12"/>
      <c r="AE65" s="12"/>
      <c r="AF65" s="12"/>
      <c r="AG65" s="30">
        <f t="shared" si="11"/>
        <v>25</v>
      </c>
    </row>
    <row r="66" spans="1:33" ht="15" customHeight="1">
      <c r="B66" s="9" t="s">
        <v>27</v>
      </c>
      <c r="C66" s="12">
        <v>0</v>
      </c>
      <c r="D66" s="12">
        <v>0</v>
      </c>
      <c r="E66" s="12">
        <v>0</v>
      </c>
      <c r="F66" s="12">
        <v>1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2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/>
      <c r="Z66" s="12"/>
      <c r="AA66" s="12"/>
      <c r="AB66" s="12"/>
      <c r="AC66" s="12"/>
      <c r="AD66" s="12"/>
      <c r="AE66" s="12"/>
      <c r="AF66" s="12"/>
      <c r="AG66" s="30">
        <f t="shared" si="11"/>
        <v>3</v>
      </c>
    </row>
    <row r="67" spans="1:33" ht="15" customHeight="1">
      <c r="B67" s="9" t="s">
        <v>16</v>
      </c>
      <c r="C67" s="12">
        <v>0</v>
      </c>
      <c r="D67" s="12">
        <v>1</v>
      </c>
      <c r="E67" s="12">
        <v>1</v>
      </c>
      <c r="F67" s="12">
        <v>4</v>
      </c>
      <c r="G67" s="12">
        <v>0</v>
      </c>
      <c r="H67" s="12">
        <v>2</v>
      </c>
      <c r="I67" s="12">
        <v>2</v>
      </c>
      <c r="J67" s="12">
        <v>0</v>
      </c>
      <c r="K67" s="12">
        <v>3</v>
      </c>
      <c r="L67" s="12">
        <v>3</v>
      </c>
      <c r="M67" s="12">
        <v>0</v>
      </c>
      <c r="N67" s="12">
        <v>3</v>
      </c>
      <c r="O67" s="12">
        <v>1</v>
      </c>
      <c r="P67" s="12">
        <v>0</v>
      </c>
      <c r="Q67" s="12">
        <v>0</v>
      </c>
      <c r="R67" s="12">
        <v>0</v>
      </c>
      <c r="S67" s="12">
        <v>0</v>
      </c>
      <c r="T67" s="12">
        <v>2</v>
      </c>
      <c r="U67" s="12">
        <v>3</v>
      </c>
      <c r="V67" s="12">
        <v>1</v>
      </c>
      <c r="W67" s="12">
        <v>0</v>
      </c>
      <c r="X67" s="12">
        <v>4</v>
      </c>
      <c r="Y67" s="12"/>
      <c r="Z67" s="12"/>
      <c r="AA67" s="29"/>
      <c r="AB67" s="29"/>
      <c r="AC67" s="29"/>
      <c r="AD67" s="29"/>
      <c r="AE67" s="29"/>
      <c r="AF67" s="29"/>
      <c r="AG67" s="30">
        <f t="shared" si="11"/>
        <v>30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70" spans="1:33" ht="15" customHeight="1">
      <c r="B70" s="49" t="s">
        <v>46</v>
      </c>
      <c r="C70" s="49"/>
      <c r="D70" s="49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34">
        <v>2718</v>
      </c>
      <c r="D72" s="34">
        <v>2436</v>
      </c>
      <c r="E72" s="34">
        <v>2731</v>
      </c>
      <c r="F72" s="34">
        <v>2506</v>
      </c>
      <c r="G72" s="34">
        <v>2794</v>
      </c>
      <c r="H72" s="34">
        <v>2401</v>
      </c>
      <c r="I72" s="34">
        <v>2750</v>
      </c>
      <c r="J72" s="34">
        <v>2509</v>
      </c>
      <c r="K72" s="34">
        <v>2656</v>
      </c>
      <c r="L72" s="34">
        <v>2594</v>
      </c>
      <c r="M72" s="34">
        <v>2454</v>
      </c>
      <c r="N72" s="34">
        <v>2584</v>
      </c>
      <c r="O72" s="34">
        <v>2670</v>
      </c>
      <c r="P72" s="12">
        <v>2642</v>
      </c>
      <c r="Q72" s="34">
        <v>2705</v>
      </c>
      <c r="R72" s="34">
        <v>2580</v>
      </c>
      <c r="S72" s="34">
        <v>0</v>
      </c>
      <c r="T72" s="34">
        <v>2296</v>
      </c>
      <c r="U72" s="12">
        <v>2857</v>
      </c>
      <c r="V72" s="34">
        <v>2551</v>
      </c>
      <c r="W72" s="34">
        <v>2591</v>
      </c>
      <c r="X72" s="34">
        <v>2616</v>
      </c>
      <c r="Y72" s="34"/>
      <c r="Z72" s="34"/>
      <c r="AA72" s="12"/>
      <c r="AB72" s="34"/>
      <c r="AC72" s="34"/>
      <c r="AD72" s="34"/>
      <c r="AE72" s="34"/>
      <c r="AF72" s="34"/>
      <c r="AG72" s="30">
        <f>SUM(C72:AF72)</f>
        <v>54641</v>
      </c>
    </row>
    <row r="73" spans="1:33" ht="15" customHeight="1">
      <c r="B73" s="11" t="s">
        <v>4</v>
      </c>
      <c r="C73" s="12">
        <f t="shared" ref="C73:AF73" si="12">+SUM(C75:C116)</f>
        <v>0</v>
      </c>
      <c r="D73" s="12">
        <f t="shared" si="12"/>
        <v>0</v>
      </c>
      <c r="E73" s="12">
        <f t="shared" si="12"/>
        <v>0</v>
      </c>
      <c r="F73" s="12">
        <f t="shared" si="12"/>
        <v>0</v>
      </c>
      <c r="G73" s="12">
        <f t="shared" si="12"/>
        <v>0</v>
      </c>
      <c r="H73" s="12">
        <f t="shared" si="12"/>
        <v>0</v>
      </c>
      <c r="I73" s="12">
        <f t="shared" si="12"/>
        <v>0</v>
      </c>
      <c r="J73" s="12">
        <f t="shared" si="12"/>
        <v>0</v>
      </c>
      <c r="K73" s="12">
        <f t="shared" si="12"/>
        <v>0</v>
      </c>
      <c r="L73" s="12">
        <f t="shared" si="12"/>
        <v>0</v>
      </c>
      <c r="M73" s="12">
        <f t="shared" si="12"/>
        <v>0</v>
      </c>
      <c r="N73" s="12">
        <f t="shared" si="12"/>
        <v>0</v>
      </c>
      <c r="O73" s="12">
        <f t="shared" si="12"/>
        <v>0</v>
      </c>
      <c r="P73" s="12">
        <f t="shared" si="12"/>
        <v>0</v>
      </c>
      <c r="Q73" s="12">
        <v>0</v>
      </c>
      <c r="R73" s="12">
        <f t="shared" ref="R73" si="13">+SUM(R75:R116)</f>
        <v>0</v>
      </c>
      <c r="S73" s="12">
        <f t="shared" si="12"/>
        <v>0</v>
      </c>
      <c r="T73" s="12">
        <f t="shared" si="12"/>
        <v>0</v>
      </c>
      <c r="U73" s="12">
        <f t="shared" si="12"/>
        <v>0</v>
      </c>
      <c r="V73" s="12">
        <f t="shared" si="12"/>
        <v>0</v>
      </c>
      <c r="W73" s="12">
        <f t="shared" si="12"/>
        <v>0</v>
      </c>
      <c r="X73" s="12">
        <f t="shared" si="12"/>
        <v>0</v>
      </c>
      <c r="Y73" s="12">
        <f t="shared" si="12"/>
        <v>0</v>
      </c>
      <c r="Z73" s="12">
        <f t="shared" si="12"/>
        <v>0</v>
      </c>
      <c r="AA73" s="12">
        <f t="shared" si="12"/>
        <v>0</v>
      </c>
      <c r="AB73" s="12">
        <f t="shared" si="12"/>
        <v>0</v>
      </c>
      <c r="AC73" s="12">
        <f t="shared" si="12"/>
        <v>0</v>
      </c>
      <c r="AD73" s="12">
        <f t="shared" si="12"/>
        <v>0</v>
      </c>
      <c r="AE73" s="12">
        <f t="shared" si="12"/>
        <v>0</v>
      </c>
      <c r="AF73" s="12">
        <f t="shared" si="12"/>
        <v>0</v>
      </c>
      <c r="AG73" s="30">
        <f>SUM(AG75:AG116)</f>
        <v>0</v>
      </c>
    </row>
    <row r="74" spans="1:33" s="6" customFormat="1" ht="15" customHeight="1">
      <c r="A74" s="6" t="s">
        <v>15</v>
      </c>
      <c r="B74" s="19" t="s">
        <v>5</v>
      </c>
      <c r="C74" s="20">
        <f t="shared" ref="C74:AG74" si="14">IF(C72=0,0,(C73/C72))</f>
        <v>0</v>
      </c>
      <c r="D74" s="20">
        <f t="shared" si="14"/>
        <v>0</v>
      </c>
      <c r="E74" s="20">
        <f t="shared" si="14"/>
        <v>0</v>
      </c>
      <c r="F74" s="20">
        <f t="shared" si="14"/>
        <v>0</v>
      </c>
      <c r="G74" s="20">
        <f t="shared" si="14"/>
        <v>0</v>
      </c>
      <c r="H74" s="20">
        <f t="shared" si="14"/>
        <v>0</v>
      </c>
      <c r="I74" s="20">
        <f t="shared" si="14"/>
        <v>0</v>
      </c>
      <c r="J74" s="20">
        <f t="shared" si="14"/>
        <v>0</v>
      </c>
      <c r="K74" s="20">
        <f t="shared" si="14"/>
        <v>0</v>
      </c>
      <c r="L74" s="20">
        <f t="shared" si="14"/>
        <v>0</v>
      </c>
      <c r="M74" s="20">
        <f t="shared" si="14"/>
        <v>0</v>
      </c>
      <c r="N74" s="20">
        <f t="shared" si="14"/>
        <v>0</v>
      </c>
      <c r="O74" s="20">
        <f t="shared" si="14"/>
        <v>0</v>
      </c>
      <c r="P74" s="20">
        <f t="shared" si="14"/>
        <v>0</v>
      </c>
      <c r="Q74" s="20">
        <f t="shared" si="14"/>
        <v>0</v>
      </c>
      <c r="R74" s="20">
        <f t="shared" si="14"/>
        <v>0</v>
      </c>
      <c r="S74" s="20">
        <f t="shared" si="14"/>
        <v>0</v>
      </c>
      <c r="T74" s="20">
        <f t="shared" si="14"/>
        <v>0</v>
      </c>
      <c r="U74" s="20">
        <f t="shared" si="14"/>
        <v>0</v>
      </c>
      <c r="V74" s="20">
        <f t="shared" si="14"/>
        <v>0</v>
      </c>
      <c r="W74" s="20">
        <f t="shared" si="14"/>
        <v>0</v>
      </c>
      <c r="X74" s="20">
        <f t="shared" si="14"/>
        <v>0</v>
      </c>
      <c r="Y74" s="20">
        <f t="shared" si="14"/>
        <v>0</v>
      </c>
      <c r="Z74" s="20">
        <f t="shared" si="14"/>
        <v>0</v>
      </c>
      <c r="AA74" s="20">
        <f t="shared" si="14"/>
        <v>0</v>
      </c>
      <c r="AB74" s="20">
        <f t="shared" si="14"/>
        <v>0</v>
      </c>
      <c r="AC74" s="20">
        <f t="shared" si="14"/>
        <v>0</v>
      </c>
      <c r="AD74" s="20">
        <f t="shared" si="14"/>
        <v>0</v>
      </c>
      <c r="AE74" s="20">
        <f t="shared" si="14"/>
        <v>0</v>
      </c>
      <c r="AF74" s="20">
        <f t="shared" si="14"/>
        <v>0</v>
      </c>
      <c r="AG74" s="20">
        <f t="shared" si="14"/>
        <v>0</v>
      </c>
    </row>
    <row r="75" spans="1:33" ht="15" customHeight="1">
      <c r="B75" s="21" t="s">
        <v>30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/>
      <c r="Z75" s="12"/>
      <c r="AA75" s="12"/>
      <c r="AB75" s="12"/>
      <c r="AC75" s="12"/>
      <c r="AD75" s="12"/>
      <c r="AE75" s="12"/>
      <c r="AF75" s="12"/>
      <c r="AG75" s="30">
        <f t="shared" ref="AG75:AG116" si="15">+SUM(C75:AF75)</f>
        <v>0</v>
      </c>
    </row>
    <row r="76" spans="1:33" ht="15" customHeight="1">
      <c r="B76" s="21" t="s">
        <v>48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/>
      <c r="Z76" s="12"/>
      <c r="AA76" s="12"/>
      <c r="AB76" s="12"/>
      <c r="AC76" s="12"/>
      <c r="AD76" s="12"/>
      <c r="AE76" s="12"/>
      <c r="AF76" s="12"/>
      <c r="AG76" s="30">
        <f t="shared" si="15"/>
        <v>0</v>
      </c>
    </row>
    <row r="77" spans="1:33" ht="15" customHeight="1">
      <c r="B77" s="21" t="s">
        <v>17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/>
      <c r="Z77" s="12"/>
      <c r="AA77" s="12"/>
      <c r="AB77" s="12"/>
      <c r="AC77" s="12"/>
      <c r="AD77" s="12"/>
      <c r="AE77" s="12"/>
      <c r="AF77" s="12"/>
      <c r="AG77" s="30">
        <f t="shared" si="15"/>
        <v>0</v>
      </c>
    </row>
    <row r="78" spans="1:33" ht="15" customHeight="1">
      <c r="B78" s="21" t="s">
        <v>34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/>
      <c r="Z78" s="12"/>
      <c r="AA78" s="12"/>
      <c r="AB78" s="12"/>
      <c r="AC78" s="12"/>
      <c r="AD78" s="12"/>
      <c r="AE78" s="12"/>
      <c r="AF78" s="12"/>
      <c r="AG78" s="30">
        <f t="shared" si="15"/>
        <v>0</v>
      </c>
    </row>
    <row r="79" spans="1:33" ht="15" customHeight="1">
      <c r="B79" s="21" t="s">
        <v>70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31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/>
      <c r="Z79" s="12"/>
      <c r="AA79" s="12"/>
      <c r="AB79" s="12"/>
      <c r="AC79" s="12"/>
      <c r="AD79" s="12"/>
      <c r="AE79" s="12"/>
      <c r="AF79" s="12"/>
      <c r="AG79" s="30">
        <f t="shared" si="15"/>
        <v>0</v>
      </c>
    </row>
    <row r="80" spans="1:33" ht="15" customHeight="1">
      <c r="B80" s="21" t="s">
        <v>50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31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/>
      <c r="Z80" s="12"/>
      <c r="AA80" s="12"/>
      <c r="AB80" s="12"/>
      <c r="AC80" s="12"/>
      <c r="AD80" s="12"/>
      <c r="AE80" s="12"/>
      <c r="AF80" s="12"/>
      <c r="AG80" s="30">
        <f t="shared" si="15"/>
        <v>0</v>
      </c>
    </row>
    <row r="81" spans="2:33" ht="15" customHeight="1">
      <c r="B81" s="21" t="s">
        <v>10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31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/>
      <c r="Z81" s="12"/>
      <c r="AA81" s="12"/>
      <c r="AB81" s="12"/>
      <c r="AC81" s="12"/>
      <c r="AD81" s="12"/>
      <c r="AE81" s="12"/>
      <c r="AF81" s="12"/>
      <c r="AG81" s="30">
        <f t="shared" si="15"/>
        <v>0</v>
      </c>
    </row>
    <row r="82" spans="2:33" ht="15" customHeight="1">
      <c r="B82" s="21" t="s">
        <v>32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31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/>
      <c r="Z82" s="12"/>
      <c r="AA82" s="12"/>
      <c r="AB82" s="12"/>
      <c r="AC82" s="12"/>
      <c r="AD82" s="12"/>
      <c r="AE82" s="12"/>
      <c r="AF82" s="12"/>
      <c r="AG82" s="30">
        <f t="shared" si="15"/>
        <v>0</v>
      </c>
    </row>
    <row r="83" spans="2:33" ht="15" customHeight="1">
      <c r="B83" s="21" t="s">
        <v>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/>
      <c r="Z83" s="12"/>
      <c r="AA83" s="12"/>
      <c r="AB83" s="12"/>
      <c r="AC83" s="12"/>
      <c r="AD83" s="12"/>
      <c r="AE83" s="12"/>
      <c r="AF83" s="12"/>
      <c r="AG83" s="30">
        <f t="shared" si="15"/>
        <v>0</v>
      </c>
    </row>
    <row r="84" spans="2:33" ht="15" customHeight="1">
      <c r="B84" s="21" t="s">
        <v>35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/>
      <c r="Z84" s="12"/>
      <c r="AA84" s="12"/>
      <c r="AB84" s="12"/>
      <c r="AC84" s="12"/>
      <c r="AD84" s="12"/>
      <c r="AE84" s="12"/>
      <c r="AF84" s="12"/>
      <c r="AG84" s="30">
        <f t="shared" si="15"/>
        <v>0</v>
      </c>
    </row>
    <row r="85" spans="2:33" ht="15" customHeight="1">
      <c r="B85" s="21" t="s">
        <v>28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/>
      <c r="Z85" s="12"/>
      <c r="AA85" s="12"/>
      <c r="AB85" s="12"/>
      <c r="AC85" s="12"/>
      <c r="AD85" s="12"/>
      <c r="AE85" s="12"/>
      <c r="AF85" s="12"/>
      <c r="AG85" s="30">
        <f t="shared" si="15"/>
        <v>0</v>
      </c>
    </row>
    <row r="86" spans="2:33" ht="15" customHeight="1">
      <c r="B86" s="21" t="s">
        <v>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/>
      <c r="Z86" s="12"/>
      <c r="AA86" s="12"/>
      <c r="AB86" s="12"/>
      <c r="AC86" s="12"/>
      <c r="AD86" s="12"/>
      <c r="AE86" s="12"/>
      <c r="AF86" s="12"/>
      <c r="AG86" s="30">
        <f t="shared" si="15"/>
        <v>0</v>
      </c>
    </row>
    <row r="87" spans="2:33" ht="15" customHeight="1">
      <c r="B87" s="21" t="s">
        <v>13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/>
      <c r="Z87" s="12"/>
      <c r="AA87" s="12"/>
      <c r="AB87" s="12"/>
      <c r="AC87" s="12"/>
      <c r="AD87" s="12"/>
      <c r="AE87" s="12"/>
      <c r="AF87" s="12"/>
      <c r="AG87" s="30">
        <f t="shared" si="15"/>
        <v>0</v>
      </c>
    </row>
    <row r="88" spans="2:33" ht="15" customHeight="1">
      <c r="B88" s="21" t="s">
        <v>51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/>
      <c r="Z88" s="12"/>
      <c r="AA88" s="12"/>
      <c r="AB88" s="12"/>
      <c r="AC88" s="12"/>
      <c r="AD88" s="12"/>
      <c r="AE88" s="12"/>
      <c r="AF88" s="12"/>
      <c r="AG88" s="30">
        <f t="shared" si="15"/>
        <v>0</v>
      </c>
    </row>
    <row r="89" spans="2:33" ht="15" customHeight="1">
      <c r="B89" s="21" t="s">
        <v>52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/>
      <c r="Z89" s="12"/>
      <c r="AA89" s="12"/>
      <c r="AB89" s="12"/>
      <c r="AC89" s="12"/>
      <c r="AD89" s="12"/>
      <c r="AE89" s="12"/>
      <c r="AF89" s="12"/>
      <c r="AG89" s="30">
        <f t="shared" si="15"/>
        <v>0</v>
      </c>
    </row>
    <row r="90" spans="2:33" ht="15" customHeight="1">
      <c r="B90" s="21" t="s">
        <v>20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/>
      <c r="Z90" s="12"/>
      <c r="AA90" s="12"/>
      <c r="AB90" s="12"/>
      <c r="AC90" s="12"/>
      <c r="AD90" s="12"/>
      <c r="AE90" s="12"/>
      <c r="AF90" s="12"/>
      <c r="AG90" s="30">
        <f t="shared" si="15"/>
        <v>0</v>
      </c>
    </row>
    <row r="91" spans="2:33" ht="15" customHeight="1">
      <c r="B91" s="21" t="s">
        <v>53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/>
      <c r="Z91" s="12"/>
      <c r="AA91" s="12"/>
      <c r="AB91" s="12"/>
      <c r="AC91" s="12"/>
      <c r="AD91" s="12"/>
      <c r="AE91" s="12"/>
      <c r="AF91" s="12"/>
      <c r="AG91" s="30">
        <f t="shared" si="15"/>
        <v>0</v>
      </c>
    </row>
    <row r="92" spans="2:33" ht="15" customHeight="1">
      <c r="B92" s="21" t="s">
        <v>11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/>
      <c r="Z92" s="12"/>
      <c r="AA92" s="12"/>
      <c r="AB92" s="12"/>
      <c r="AC92" s="12"/>
      <c r="AD92" s="12"/>
      <c r="AE92" s="12"/>
      <c r="AF92" s="12"/>
      <c r="AG92" s="30">
        <f t="shared" si="15"/>
        <v>0</v>
      </c>
    </row>
    <row r="93" spans="2:33" ht="15" customHeight="1">
      <c r="B93" s="21" t="s">
        <v>54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/>
      <c r="Z93" s="12"/>
      <c r="AA93" s="12"/>
      <c r="AB93" s="12"/>
      <c r="AC93" s="12"/>
      <c r="AD93" s="12"/>
      <c r="AE93" s="12"/>
      <c r="AF93" s="12"/>
      <c r="AG93" s="30">
        <f t="shared" si="15"/>
        <v>0</v>
      </c>
    </row>
    <row r="94" spans="2:33" ht="15" customHeight="1">
      <c r="B94" s="21" t="s">
        <v>71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/>
      <c r="Z94" s="12"/>
      <c r="AA94" s="12"/>
      <c r="AB94" s="12"/>
      <c r="AC94" s="12"/>
      <c r="AD94" s="12"/>
      <c r="AE94" s="12"/>
      <c r="AF94" s="12"/>
      <c r="AG94" s="30">
        <f t="shared" si="15"/>
        <v>0</v>
      </c>
    </row>
    <row r="95" spans="2:33" ht="15" customHeight="1">
      <c r="B95" s="21" t="s">
        <v>16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/>
      <c r="Z95" s="12"/>
      <c r="AA95" s="12"/>
      <c r="AB95" s="12"/>
      <c r="AC95" s="12"/>
      <c r="AD95" s="12"/>
      <c r="AE95" s="12"/>
      <c r="AF95" s="12"/>
      <c r="AG95" s="30">
        <f t="shared" si="15"/>
        <v>0</v>
      </c>
    </row>
    <row r="96" spans="2:33" ht="15" customHeight="1">
      <c r="B96" s="21" t="s">
        <v>56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/>
      <c r="Z96" s="12"/>
      <c r="AA96" s="12"/>
      <c r="AB96" s="12"/>
      <c r="AC96" s="12"/>
      <c r="AD96" s="12"/>
      <c r="AE96" s="12"/>
      <c r="AF96" s="12"/>
      <c r="AG96" s="30">
        <f t="shared" si="15"/>
        <v>0</v>
      </c>
    </row>
    <row r="97" spans="2:33" ht="15" customHeight="1">
      <c r="B97" s="21" t="s">
        <v>25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/>
      <c r="Z97" s="12"/>
      <c r="AA97" s="12"/>
      <c r="AB97" s="12"/>
      <c r="AC97" s="12"/>
      <c r="AD97" s="12"/>
      <c r="AE97" s="12"/>
      <c r="AF97" s="12"/>
      <c r="AG97" s="30">
        <f t="shared" si="15"/>
        <v>0</v>
      </c>
    </row>
    <row r="98" spans="2:33" ht="15" customHeight="1">
      <c r="B98" s="21" t="s">
        <v>44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/>
      <c r="Z98" s="12"/>
      <c r="AA98" s="12"/>
      <c r="AB98" s="12"/>
      <c r="AC98" s="12"/>
      <c r="AD98" s="12"/>
      <c r="AE98" s="12"/>
      <c r="AF98" s="12"/>
      <c r="AG98" s="30">
        <f t="shared" si="15"/>
        <v>0</v>
      </c>
    </row>
    <row r="99" spans="2:33" ht="15" customHeight="1">
      <c r="B99" s="21" t="s">
        <v>23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/>
      <c r="Z99" s="12"/>
      <c r="AA99" s="12"/>
      <c r="AB99" s="12"/>
      <c r="AC99" s="12"/>
      <c r="AD99" s="12"/>
      <c r="AE99" s="12"/>
      <c r="AF99" s="12"/>
      <c r="AG99" s="30">
        <f t="shared" si="15"/>
        <v>0</v>
      </c>
    </row>
    <row r="100" spans="2:33" ht="15" customHeight="1">
      <c r="B100" s="21" t="s">
        <v>19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12"/>
      <c r="AA100" s="12"/>
      <c r="AB100" s="12"/>
      <c r="AC100" s="12"/>
      <c r="AD100" s="12"/>
      <c r="AE100" s="12"/>
      <c r="AF100" s="12"/>
      <c r="AG100" s="30">
        <f t="shared" si="15"/>
        <v>0</v>
      </c>
    </row>
    <row r="101" spans="2:33" ht="15" customHeight="1">
      <c r="B101" s="21" t="s">
        <v>57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12"/>
      <c r="AA101" s="12"/>
      <c r="AB101" s="12"/>
      <c r="AC101" s="12"/>
      <c r="AD101" s="12"/>
      <c r="AE101" s="12"/>
      <c r="AF101" s="12"/>
      <c r="AG101" s="30">
        <f t="shared" si="15"/>
        <v>0</v>
      </c>
    </row>
    <row r="102" spans="2:33" ht="15" customHeight="1">
      <c r="B102" s="21" t="s">
        <v>42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12"/>
      <c r="AA102" s="12"/>
      <c r="AB102" s="12"/>
      <c r="AC102" s="12"/>
      <c r="AD102" s="12"/>
      <c r="AE102" s="12"/>
      <c r="AF102" s="12"/>
      <c r="AG102" s="30">
        <f t="shared" si="15"/>
        <v>0</v>
      </c>
    </row>
    <row r="103" spans="2:33" ht="15" customHeight="1">
      <c r="B103" s="21" t="s">
        <v>58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12"/>
      <c r="AA103" s="12"/>
      <c r="AB103" s="12"/>
      <c r="AC103" s="12"/>
      <c r="AD103" s="12"/>
      <c r="AE103" s="12"/>
      <c r="AF103" s="12"/>
      <c r="AG103" s="30">
        <f t="shared" si="15"/>
        <v>0</v>
      </c>
    </row>
    <row r="104" spans="2:33" ht="15" customHeight="1">
      <c r="B104" s="21" t="s">
        <v>38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12"/>
      <c r="AA104" s="12"/>
      <c r="AB104" s="12"/>
      <c r="AC104" s="12"/>
      <c r="AD104" s="12"/>
      <c r="AE104" s="12"/>
      <c r="AF104" s="12"/>
      <c r="AG104" s="30">
        <f t="shared" si="15"/>
        <v>0</v>
      </c>
    </row>
    <row r="105" spans="2:33" ht="15" customHeight="1">
      <c r="B105" s="21" t="s">
        <v>27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12"/>
      <c r="AA105" s="12"/>
      <c r="AB105" s="12"/>
      <c r="AC105" s="12"/>
      <c r="AD105" s="12"/>
      <c r="AE105" s="12"/>
      <c r="AF105" s="12"/>
      <c r="AG105" s="30">
        <f t="shared" si="15"/>
        <v>0</v>
      </c>
    </row>
    <row r="106" spans="2:33" ht="15" customHeight="1">
      <c r="B106" s="21" t="s">
        <v>86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12"/>
      <c r="AA106" s="12"/>
      <c r="AB106" s="12"/>
      <c r="AC106" s="12"/>
      <c r="AD106" s="12"/>
      <c r="AE106" s="12"/>
      <c r="AF106" s="12"/>
      <c r="AG106" s="30">
        <f t="shared" si="15"/>
        <v>0</v>
      </c>
    </row>
    <row r="107" spans="2:33" ht="15" customHeight="1">
      <c r="B107" s="21" t="s">
        <v>59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12"/>
      <c r="AA107" s="12"/>
      <c r="AB107" s="12"/>
      <c r="AC107" s="12"/>
      <c r="AD107" s="12"/>
      <c r="AE107" s="12"/>
      <c r="AF107" s="12"/>
      <c r="AG107" s="30">
        <f t="shared" si="15"/>
        <v>0</v>
      </c>
    </row>
    <row r="108" spans="2:33" ht="15" customHeight="1">
      <c r="B108" s="21" t="s">
        <v>60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12"/>
      <c r="AA108" s="12"/>
      <c r="AB108" s="12"/>
      <c r="AC108" s="12"/>
      <c r="AD108" s="12"/>
      <c r="AE108" s="12"/>
      <c r="AF108" s="12"/>
      <c r="AG108" s="30">
        <f t="shared" si="15"/>
        <v>0</v>
      </c>
    </row>
    <row r="109" spans="2:33" ht="15" customHeight="1">
      <c r="B109" s="21" t="s">
        <v>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12"/>
      <c r="AA109" s="12"/>
      <c r="AB109" s="12"/>
      <c r="AC109" s="12"/>
      <c r="AD109" s="12"/>
      <c r="AE109" s="12"/>
      <c r="AF109" s="12"/>
      <c r="AG109" s="30">
        <f t="shared" si="15"/>
        <v>0</v>
      </c>
    </row>
    <row r="110" spans="2:33" ht="15" customHeight="1">
      <c r="B110" s="21" t="s">
        <v>61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12"/>
      <c r="AA110" s="12"/>
      <c r="AB110" s="12"/>
      <c r="AC110" s="12"/>
      <c r="AD110" s="12"/>
      <c r="AE110" s="12"/>
      <c r="AF110" s="12"/>
      <c r="AG110" s="30">
        <f t="shared" si="15"/>
        <v>0</v>
      </c>
    </row>
    <row r="111" spans="2:33" ht="15" customHeight="1">
      <c r="B111" s="21" t="s">
        <v>24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35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12"/>
      <c r="AA111" s="12"/>
      <c r="AB111" s="12"/>
      <c r="AC111" s="12"/>
      <c r="AD111" s="12"/>
      <c r="AE111" s="12"/>
      <c r="AF111" s="12"/>
      <c r="AG111" s="30">
        <f t="shared" si="15"/>
        <v>0</v>
      </c>
    </row>
    <row r="112" spans="2:33" ht="15" customHeight="1">
      <c r="B112" s="21" t="s">
        <v>62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12"/>
      <c r="AA112" s="12"/>
      <c r="AB112" s="12"/>
      <c r="AC112" s="12"/>
      <c r="AD112" s="12"/>
      <c r="AE112" s="12"/>
      <c r="AF112" s="12"/>
      <c r="AG112" s="30">
        <f t="shared" si="15"/>
        <v>0</v>
      </c>
    </row>
    <row r="113" spans="2:33" ht="15" customHeight="1">
      <c r="B113" s="21" t="s">
        <v>43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12"/>
      <c r="AA113" s="12"/>
      <c r="AB113" s="12"/>
      <c r="AC113" s="12"/>
      <c r="AD113" s="12"/>
      <c r="AE113" s="12"/>
      <c r="AF113" s="12"/>
      <c r="AG113" s="30">
        <f t="shared" si="15"/>
        <v>0</v>
      </c>
    </row>
    <row r="114" spans="2:33" ht="15" customHeight="1">
      <c r="B114" s="21" t="s">
        <v>26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12"/>
      <c r="AA114" s="12"/>
      <c r="AB114" s="12"/>
      <c r="AC114" s="12"/>
      <c r="AD114" s="12"/>
      <c r="AE114" s="12"/>
      <c r="AF114" s="12"/>
      <c r="AG114" s="30">
        <f t="shared" si="15"/>
        <v>0</v>
      </c>
    </row>
    <row r="115" spans="2:33" ht="15" customHeight="1">
      <c r="B115" s="21" t="s">
        <v>22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12"/>
      <c r="AA115" s="12"/>
      <c r="AB115" s="12"/>
      <c r="AC115" s="12"/>
      <c r="AD115" s="12"/>
      <c r="AE115" s="12"/>
      <c r="AF115" s="12"/>
      <c r="AG115" s="30">
        <f t="shared" si="15"/>
        <v>0</v>
      </c>
    </row>
    <row r="116" spans="2:33" ht="15" customHeight="1">
      <c r="B116" s="21" t="s">
        <v>45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12"/>
      <c r="AA116" s="12"/>
      <c r="AB116" s="12"/>
      <c r="AC116" s="12"/>
      <c r="AD116" s="12"/>
      <c r="AE116" s="12"/>
      <c r="AF116" s="12"/>
      <c r="AG116" s="30">
        <f t="shared" si="15"/>
        <v>0</v>
      </c>
    </row>
    <row r="117" spans="2:33" ht="15" customHeight="1">
      <c r="B117" s="1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sheetProtection selectLockedCells="1" selectUnlockedCells="1"/>
  <mergeCells count="4">
    <mergeCell ref="B2:D2"/>
    <mergeCell ref="B16:D16"/>
    <mergeCell ref="B36:D36"/>
    <mergeCell ref="B70:D70"/>
  </mergeCells>
  <conditionalFormatting sqref="A75:A116">
    <cfRule type="duplicateValues" dxfId="3" priority="77"/>
  </conditionalFormatting>
  <conditionalFormatting sqref="C6 AG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 AG2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 AG4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 AG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 AG20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Z40 AG40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A74 AG7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 Z20 F20:X2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X40 Z40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A74 AG7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4:AA74 D7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AG6 C6:X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:AG20 C20:X2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0:AG40 C40:X4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F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F2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F4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4:AF7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2" priority="75"/>
  </conditionalFormatting>
  <conditionalFormatting sqref="AG74:AG11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26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H107"/>
  <sheetViews>
    <sheetView workbookViewId="0">
      <selection activeCell="L10" sqref="L10"/>
    </sheetView>
  </sheetViews>
  <sheetFormatPr defaultColWidth="9.08984375" defaultRowHeight="15" customHeight="1"/>
  <cols>
    <col min="1" max="1" width="1.6328125" style="7" customWidth="1"/>
    <col min="2" max="2" width="20.453125" style="7" customWidth="1"/>
    <col min="3" max="3" width="10.08984375" style="8" customWidth="1"/>
    <col min="4" max="9" width="9.08984375" style="8"/>
    <col min="10" max="10" width="11" style="8"/>
    <col min="11" max="14" width="9.08984375" style="8"/>
    <col min="15" max="15" width="11" style="8"/>
    <col min="16" max="21" width="9.08984375" style="8"/>
    <col min="22" max="22" width="11" style="8"/>
    <col min="23" max="27" width="9.08984375" style="7"/>
    <col min="28" max="28" width="11" style="7"/>
    <col min="29" max="34" width="9.08984375" style="7"/>
    <col min="35" max="36" width="10.36328125" style="7"/>
    <col min="37" max="16384" width="9.08984375" style="7"/>
  </cols>
  <sheetData>
    <row r="2" spans="2:34" ht="15" customHeight="1">
      <c r="B2" s="43" t="s">
        <v>72</v>
      </c>
      <c r="C2" s="44"/>
      <c r="D2" s="45"/>
    </row>
    <row r="3" spans="2:34" ht="10">
      <c r="B3" s="9" t="s">
        <v>1</v>
      </c>
      <c r="C3" s="10">
        <v>45505</v>
      </c>
      <c r="D3" s="10">
        <v>45506</v>
      </c>
      <c r="E3" s="10">
        <v>45507</v>
      </c>
      <c r="F3" s="10">
        <v>45508</v>
      </c>
      <c r="G3" s="10">
        <v>45509</v>
      </c>
      <c r="H3" s="10">
        <v>45510</v>
      </c>
      <c r="I3" s="10">
        <v>45511</v>
      </c>
      <c r="J3" s="10">
        <v>45512</v>
      </c>
      <c r="K3" s="10">
        <v>45513</v>
      </c>
      <c r="L3" s="10">
        <v>45514</v>
      </c>
      <c r="M3" s="10">
        <v>45515</v>
      </c>
      <c r="N3" s="10">
        <v>45516</v>
      </c>
      <c r="O3" s="10">
        <v>45517</v>
      </c>
      <c r="P3" s="10">
        <v>45518</v>
      </c>
      <c r="Q3" s="10">
        <v>45519</v>
      </c>
      <c r="R3" s="10">
        <v>45520</v>
      </c>
      <c r="S3" s="10">
        <v>45521</v>
      </c>
      <c r="T3" s="10">
        <v>45522</v>
      </c>
      <c r="U3" s="10">
        <v>45523</v>
      </c>
      <c r="V3" s="10">
        <v>45524</v>
      </c>
      <c r="W3" s="10">
        <v>45525</v>
      </c>
      <c r="X3" s="10">
        <v>45526</v>
      </c>
      <c r="Y3" s="10">
        <v>45527</v>
      </c>
      <c r="Z3" s="10">
        <v>45528</v>
      </c>
      <c r="AA3" s="10">
        <v>45529</v>
      </c>
      <c r="AB3" s="10">
        <v>45530</v>
      </c>
      <c r="AC3" s="10">
        <v>45531</v>
      </c>
      <c r="AD3" s="10">
        <v>45532</v>
      </c>
      <c r="AE3" s="10">
        <v>45533</v>
      </c>
      <c r="AF3" s="10">
        <v>45534</v>
      </c>
      <c r="AG3" s="10">
        <v>45535</v>
      </c>
      <c r="AH3" s="25" t="s">
        <v>2</v>
      </c>
    </row>
    <row r="4" spans="2:34" ht="15" customHeight="1">
      <c r="B4" s="11" t="s">
        <v>3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2727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30">
        <f>SUM(C4:AG4)</f>
        <v>2727</v>
      </c>
    </row>
    <row r="5" spans="2:34" ht="15" customHeight="1">
      <c r="B5" s="11" t="s">
        <v>4</v>
      </c>
      <c r="C5" s="12">
        <f t="shared" ref="C5:AH5" si="0">SUM(C7:C14)</f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167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167</v>
      </c>
    </row>
    <row r="6" spans="2:34" ht="15" customHeight="1">
      <c r="B6" s="13" t="s">
        <v>5</v>
      </c>
      <c r="C6" s="14">
        <f t="shared" ref="C6:AH6" si="1">IF(C4=0,0,(C5/C4))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4">
        <f t="shared" si="1"/>
        <v>0</v>
      </c>
      <c r="I6" s="14">
        <f t="shared" si="1"/>
        <v>0</v>
      </c>
      <c r="J6" s="14">
        <f t="shared" si="1"/>
        <v>6.1239457279061237E-2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4">
        <f t="shared" si="1"/>
        <v>0</v>
      </c>
      <c r="O6" s="14">
        <f t="shared" si="1"/>
        <v>0</v>
      </c>
      <c r="P6" s="14">
        <f t="shared" si="1"/>
        <v>0</v>
      </c>
      <c r="Q6" s="14">
        <f t="shared" si="1"/>
        <v>0</v>
      </c>
      <c r="R6" s="14">
        <f t="shared" si="1"/>
        <v>0</v>
      </c>
      <c r="S6" s="14">
        <f t="shared" si="1"/>
        <v>0</v>
      </c>
      <c r="T6" s="14">
        <f t="shared" si="1"/>
        <v>0</v>
      </c>
      <c r="U6" s="14">
        <f t="shared" si="1"/>
        <v>0</v>
      </c>
      <c r="V6" s="14">
        <f t="shared" si="1"/>
        <v>0</v>
      </c>
      <c r="W6" s="14">
        <f t="shared" si="1"/>
        <v>0</v>
      </c>
      <c r="X6" s="14">
        <f t="shared" si="1"/>
        <v>0</v>
      </c>
      <c r="Y6" s="14">
        <f t="shared" si="1"/>
        <v>0</v>
      </c>
      <c r="Z6" s="14">
        <f t="shared" si="1"/>
        <v>0</v>
      </c>
      <c r="AA6" s="14">
        <f t="shared" si="1"/>
        <v>0</v>
      </c>
      <c r="AB6" s="14">
        <f t="shared" si="1"/>
        <v>0</v>
      </c>
      <c r="AC6" s="14">
        <f t="shared" si="1"/>
        <v>0</v>
      </c>
      <c r="AD6" s="14">
        <f t="shared" si="1"/>
        <v>0</v>
      </c>
      <c r="AE6" s="14">
        <f t="shared" si="1"/>
        <v>0</v>
      </c>
      <c r="AF6" s="14">
        <f t="shared" si="1"/>
        <v>0</v>
      </c>
      <c r="AG6" s="14">
        <f t="shared" si="1"/>
        <v>0</v>
      </c>
      <c r="AH6" s="14">
        <f t="shared" si="1"/>
        <v>6.1239457279061237E-2</v>
      </c>
    </row>
    <row r="7" spans="2:34" ht="15" customHeight="1">
      <c r="B7" s="11" t="s">
        <v>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f>3+7+5</f>
        <v>15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30">
        <f t="shared" ref="AH7:AH14" si="2">+SUM(C7:AG7)</f>
        <v>15</v>
      </c>
    </row>
    <row r="8" spans="2:34" ht="15" customHeight="1">
      <c r="B8" s="11" t="s">
        <v>7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27"/>
      <c r="AB8" s="12"/>
      <c r="AC8" s="12"/>
      <c r="AD8" s="12"/>
      <c r="AE8" s="12"/>
      <c r="AF8" s="12"/>
      <c r="AG8" s="12"/>
      <c r="AH8" s="30">
        <f t="shared" si="2"/>
        <v>0</v>
      </c>
    </row>
    <row r="9" spans="2:34" ht="15" customHeight="1">
      <c r="B9" s="11" t="s">
        <v>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f>8+4+20+14+32</f>
        <v>78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12"/>
      <c r="X9" s="12"/>
      <c r="Y9" s="12"/>
      <c r="Z9" s="8"/>
      <c r="AA9" s="12"/>
      <c r="AB9" s="12"/>
      <c r="AC9" s="12"/>
      <c r="AD9" s="12"/>
      <c r="AE9" s="12"/>
      <c r="AF9" s="12"/>
      <c r="AG9" s="12"/>
      <c r="AH9" s="30">
        <f t="shared" si="2"/>
        <v>78</v>
      </c>
    </row>
    <row r="10" spans="2:34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8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30">
        <f t="shared" si="2"/>
        <v>0</v>
      </c>
    </row>
    <row r="11" spans="2:34" ht="15" customHeight="1">
      <c r="B11" s="11" t="s">
        <v>10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f>4+5+16+7+4</f>
        <v>36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30">
        <f t="shared" si="2"/>
        <v>36</v>
      </c>
    </row>
    <row r="12" spans="2:34" ht="15" customHeight="1">
      <c r="B12" s="11" t="s">
        <v>11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f>5+5+8</f>
        <v>18</v>
      </c>
      <c r="K12" s="12"/>
      <c r="L12" s="12"/>
      <c r="M12" s="12"/>
      <c r="O12" s="12"/>
      <c r="P12" s="12"/>
      <c r="Q12" s="12"/>
      <c r="R12" s="12"/>
      <c r="S12" s="12"/>
      <c r="T12" s="12"/>
      <c r="U12" s="12"/>
      <c r="V12" s="12"/>
      <c r="W12" s="12"/>
      <c r="X12" s="27"/>
      <c r="Y12" s="12"/>
      <c r="Z12" s="12"/>
      <c r="AA12" s="12"/>
      <c r="AB12" s="12"/>
      <c r="AC12" s="12"/>
      <c r="AD12" s="12"/>
      <c r="AE12" s="12"/>
      <c r="AF12" s="12"/>
      <c r="AG12" s="12"/>
      <c r="AH12" s="30">
        <f t="shared" si="2"/>
        <v>18</v>
      </c>
    </row>
    <row r="13" spans="2:34" ht="15" customHeight="1">
      <c r="B13" s="11" t="s">
        <v>12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f>3+2+7+6</f>
        <v>18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30">
        <f t="shared" si="2"/>
        <v>18</v>
      </c>
    </row>
    <row r="14" spans="2:34" ht="15" customHeight="1">
      <c r="B14" s="11" t="s">
        <v>13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30">
        <f t="shared" si="2"/>
        <v>2</v>
      </c>
    </row>
    <row r="15" spans="2:34" ht="15" customHeight="1">
      <c r="B15" s="15"/>
    </row>
    <row r="16" spans="2:34" ht="15" customHeight="1">
      <c r="B16" s="46" t="s">
        <v>73</v>
      </c>
      <c r="C16" s="47"/>
      <c r="D16" s="48"/>
    </row>
    <row r="17" spans="2:34" ht="10">
      <c r="B17" s="9" t="s">
        <v>1</v>
      </c>
      <c r="C17" s="10">
        <v>45505</v>
      </c>
      <c r="D17" s="10">
        <v>45506</v>
      </c>
      <c r="E17" s="10">
        <v>45507</v>
      </c>
      <c r="F17" s="10">
        <v>45508</v>
      </c>
      <c r="G17" s="10">
        <v>45509</v>
      </c>
      <c r="H17" s="10">
        <v>45510</v>
      </c>
      <c r="I17" s="10">
        <v>45511</v>
      </c>
      <c r="J17" s="10">
        <v>45512</v>
      </c>
      <c r="K17" s="10">
        <v>45513</v>
      </c>
      <c r="L17" s="10">
        <v>45514</v>
      </c>
      <c r="M17" s="10">
        <v>45515</v>
      </c>
      <c r="N17" s="10">
        <v>45516</v>
      </c>
      <c r="O17" s="10">
        <v>45517</v>
      </c>
      <c r="P17" s="10">
        <v>45518</v>
      </c>
      <c r="Q17" s="10">
        <v>45519</v>
      </c>
      <c r="R17" s="10">
        <v>45520</v>
      </c>
      <c r="S17" s="10">
        <v>45521</v>
      </c>
      <c r="T17" s="10">
        <v>45522</v>
      </c>
      <c r="U17" s="10">
        <v>45523</v>
      </c>
      <c r="V17" s="10">
        <v>45524</v>
      </c>
      <c r="W17" s="10">
        <v>45525</v>
      </c>
      <c r="X17" s="10">
        <v>45526</v>
      </c>
      <c r="Y17" s="10">
        <v>45527</v>
      </c>
      <c r="Z17" s="10">
        <v>45528</v>
      </c>
      <c r="AA17" s="10">
        <v>45529</v>
      </c>
      <c r="AB17" s="10">
        <v>45530</v>
      </c>
      <c r="AC17" s="10">
        <v>45531</v>
      </c>
      <c r="AD17" s="10">
        <v>45532</v>
      </c>
      <c r="AE17" s="10">
        <v>45533</v>
      </c>
      <c r="AF17" s="10">
        <v>45534</v>
      </c>
      <c r="AG17" s="10">
        <v>45535</v>
      </c>
      <c r="AH17" s="25" t="s">
        <v>2</v>
      </c>
    </row>
    <row r="18" spans="2:34" ht="15" customHeight="1">
      <c r="B18" s="11" t="s">
        <v>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2727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30">
        <f>SUM(C18:AG18)</f>
        <v>2727</v>
      </c>
    </row>
    <row r="19" spans="2:34" ht="15" customHeight="1">
      <c r="B19" s="11" t="s">
        <v>4</v>
      </c>
      <c r="C19" s="12">
        <f t="shared" ref="C19:AH19" si="3">SUM(C21:C30)</f>
        <v>0</v>
      </c>
      <c r="D19" s="12">
        <f t="shared" si="3"/>
        <v>0</v>
      </c>
      <c r="E19" s="12">
        <f t="shared" si="3"/>
        <v>0</v>
      </c>
      <c r="F19" s="12">
        <f t="shared" si="3"/>
        <v>0</v>
      </c>
      <c r="G19" s="12">
        <f t="shared" si="3"/>
        <v>0</v>
      </c>
      <c r="H19" s="12">
        <f t="shared" si="3"/>
        <v>0</v>
      </c>
      <c r="I19" s="12">
        <f t="shared" si="3"/>
        <v>0</v>
      </c>
      <c r="J19" s="12">
        <f t="shared" si="3"/>
        <v>11</v>
      </c>
      <c r="K19" s="12">
        <f t="shared" si="3"/>
        <v>0</v>
      </c>
      <c r="L19" s="12">
        <f t="shared" si="3"/>
        <v>0</v>
      </c>
      <c r="M19" s="12">
        <f t="shared" si="3"/>
        <v>0</v>
      </c>
      <c r="N19" s="12">
        <f t="shared" si="3"/>
        <v>0</v>
      </c>
      <c r="O19" s="12">
        <f t="shared" si="3"/>
        <v>0</v>
      </c>
      <c r="P19" s="12">
        <f t="shared" si="3"/>
        <v>0</v>
      </c>
      <c r="Q19" s="12">
        <f t="shared" si="3"/>
        <v>0</v>
      </c>
      <c r="R19" s="12">
        <f t="shared" si="3"/>
        <v>0</v>
      </c>
      <c r="S19" s="12">
        <f t="shared" si="3"/>
        <v>0</v>
      </c>
      <c r="T19" s="12">
        <f t="shared" si="3"/>
        <v>0</v>
      </c>
      <c r="U19" s="12">
        <f t="shared" si="3"/>
        <v>0</v>
      </c>
      <c r="V19" s="12">
        <f t="shared" si="3"/>
        <v>0</v>
      </c>
      <c r="W19" s="12">
        <f t="shared" si="3"/>
        <v>0</v>
      </c>
      <c r="X19" s="12">
        <f t="shared" si="3"/>
        <v>0</v>
      </c>
      <c r="Y19" s="12">
        <f t="shared" si="3"/>
        <v>0</v>
      </c>
      <c r="Z19" s="12">
        <f t="shared" si="3"/>
        <v>0</v>
      </c>
      <c r="AA19" s="12">
        <f t="shared" si="3"/>
        <v>0</v>
      </c>
      <c r="AB19" s="12">
        <f t="shared" si="3"/>
        <v>0</v>
      </c>
      <c r="AC19" s="12">
        <f t="shared" si="3"/>
        <v>0</v>
      </c>
      <c r="AD19" s="12">
        <f t="shared" si="3"/>
        <v>0</v>
      </c>
      <c r="AE19" s="12">
        <f t="shared" si="3"/>
        <v>0</v>
      </c>
      <c r="AF19" s="12">
        <f t="shared" si="3"/>
        <v>0</v>
      </c>
      <c r="AG19" s="12">
        <f t="shared" si="3"/>
        <v>0</v>
      </c>
      <c r="AH19" s="12">
        <f t="shared" si="3"/>
        <v>11</v>
      </c>
    </row>
    <row r="20" spans="2:34" s="6" customFormat="1" ht="15" customHeight="1">
      <c r="B20" s="13" t="s">
        <v>5</v>
      </c>
      <c r="C20" s="14">
        <f t="shared" ref="C20:AH20" si="4">IF(C18=0,0,(C19/C18))</f>
        <v>0</v>
      </c>
      <c r="D20" s="14">
        <f t="shared" si="4"/>
        <v>0</v>
      </c>
      <c r="E20" s="14">
        <f t="shared" si="4"/>
        <v>0</v>
      </c>
      <c r="F20" s="14">
        <f t="shared" si="4"/>
        <v>0</v>
      </c>
      <c r="G20" s="14">
        <f t="shared" si="4"/>
        <v>0</v>
      </c>
      <c r="H20" s="14">
        <f t="shared" si="4"/>
        <v>0</v>
      </c>
      <c r="I20" s="14">
        <f t="shared" si="4"/>
        <v>0</v>
      </c>
      <c r="J20" s="14">
        <f t="shared" si="4"/>
        <v>4.0337367070040339E-3</v>
      </c>
      <c r="K20" s="14">
        <f t="shared" si="4"/>
        <v>0</v>
      </c>
      <c r="L20" s="14">
        <f t="shared" si="4"/>
        <v>0</v>
      </c>
      <c r="M20" s="14">
        <f t="shared" si="4"/>
        <v>0</v>
      </c>
      <c r="N20" s="14">
        <f t="shared" si="4"/>
        <v>0</v>
      </c>
      <c r="O20" s="14">
        <f t="shared" si="4"/>
        <v>0</v>
      </c>
      <c r="P20" s="14">
        <f t="shared" si="4"/>
        <v>0</v>
      </c>
      <c r="Q20" s="14">
        <f t="shared" si="4"/>
        <v>0</v>
      </c>
      <c r="R20" s="14">
        <f t="shared" si="4"/>
        <v>0</v>
      </c>
      <c r="S20" s="14">
        <f t="shared" si="4"/>
        <v>0</v>
      </c>
      <c r="T20" s="14">
        <f t="shared" si="4"/>
        <v>0</v>
      </c>
      <c r="U20" s="14">
        <f t="shared" si="4"/>
        <v>0</v>
      </c>
      <c r="V20" s="14">
        <f t="shared" si="4"/>
        <v>0</v>
      </c>
      <c r="W20" s="14">
        <f t="shared" si="4"/>
        <v>0</v>
      </c>
      <c r="X20" s="14">
        <f t="shared" si="4"/>
        <v>0</v>
      </c>
      <c r="Y20" s="14">
        <f t="shared" si="4"/>
        <v>0</v>
      </c>
      <c r="Z20" s="14">
        <f t="shared" si="4"/>
        <v>0</v>
      </c>
      <c r="AA20" s="14">
        <f t="shared" si="4"/>
        <v>0</v>
      </c>
      <c r="AB20" s="14">
        <f t="shared" si="4"/>
        <v>0</v>
      </c>
      <c r="AC20" s="14">
        <f t="shared" si="4"/>
        <v>0</v>
      </c>
      <c r="AD20" s="14">
        <f t="shared" si="4"/>
        <v>0</v>
      </c>
      <c r="AE20" s="14">
        <f t="shared" si="4"/>
        <v>0</v>
      </c>
      <c r="AF20" s="14">
        <f t="shared" si="4"/>
        <v>0</v>
      </c>
      <c r="AG20" s="14">
        <f t="shared" si="4"/>
        <v>0</v>
      </c>
      <c r="AH20" s="14">
        <f t="shared" si="4"/>
        <v>4.0337367070040339E-3</v>
      </c>
    </row>
    <row r="21" spans="2:34" ht="15" customHeight="1">
      <c r="B21" s="11" t="s">
        <v>16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30">
        <f t="shared" ref="AH21:AH30" si="5">+SUM(C21:AG21)</f>
        <v>0</v>
      </c>
    </row>
    <row r="22" spans="2:34" ht="15" customHeight="1">
      <c r="B22" s="9" t="s">
        <v>17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30">
        <f t="shared" si="5"/>
        <v>0</v>
      </c>
    </row>
    <row r="23" spans="2:34" ht="15" customHeight="1">
      <c r="B23" s="11" t="s">
        <v>18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30">
        <f t="shared" si="5"/>
        <v>0</v>
      </c>
    </row>
    <row r="24" spans="2:34" ht="15" customHeight="1">
      <c r="B24" s="9" t="s">
        <v>19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30">
        <f t="shared" si="5"/>
        <v>0</v>
      </c>
    </row>
    <row r="25" spans="2:34" ht="15" customHeight="1">
      <c r="B25" s="11" t="s">
        <v>20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30">
        <f t="shared" si="5"/>
        <v>5</v>
      </c>
    </row>
    <row r="26" spans="2:34" ht="15" customHeight="1">
      <c r="B26" s="11" t="s">
        <v>22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30">
        <f t="shared" si="5"/>
        <v>4</v>
      </c>
    </row>
    <row r="27" spans="2:34" ht="15" customHeight="1">
      <c r="B27" s="11" t="s">
        <v>23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30">
        <f t="shared" si="5"/>
        <v>2</v>
      </c>
    </row>
    <row r="28" spans="2:34" ht="15" customHeight="1">
      <c r="B28" s="11" t="s">
        <v>25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30">
        <f t="shared" si="5"/>
        <v>0</v>
      </c>
    </row>
    <row r="29" spans="2:34" ht="15" customHeight="1">
      <c r="B29" s="11" t="s">
        <v>26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30">
        <f t="shared" si="5"/>
        <v>0</v>
      </c>
    </row>
    <row r="30" spans="2:34" ht="15" customHeight="1">
      <c r="B30" s="11" t="s">
        <v>28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30">
        <f t="shared" si="5"/>
        <v>0</v>
      </c>
    </row>
    <row r="31" spans="2:34" ht="15" customHeight="1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2:34" ht="15" customHeight="1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28"/>
      <c r="U32" s="28"/>
      <c r="V32" s="7"/>
    </row>
    <row r="33" spans="2:34" ht="15" customHeight="1">
      <c r="B33" s="46" t="s">
        <v>74</v>
      </c>
      <c r="C33" s="47"/>
      <c r="D33" s="48"/>
    </row>
    <row r="34" spans="2:34" ht="10">
      <c r="B34" s="9" t="s">
        <v>1</v>
      </c>
      <c r="C34" s="10">
        <v>45505</v>
      </c>
      <c r="D34" s="10">
        <v>45506</v>
      </c>
      <c r="E34" s="10">
        <v>45507</v>
      </c>
      <c r="F34" s="10">
        <v>45508</v>
      </c>
      <c r="G34" s="10">
        <v>45509</v>
      </c>
      <c r="H34" s="10">
        <v>45510</v>
      </c>
      <c r="I34" s="10">
        <v>45511</v>
      </c>
      <c r="J34" s="10">
        <v>45512</v>
      </c>
      <c r="K34" s="10">
        <v>45513</v>
      </c>
      <c r="L34" s="10">
        <v>45514</v>
      </c>
      <c r="M34" s="10">
        <v>45515</v>
      </c>
      <c r="N34" s="10">
        <v>45516</v>
      </c>
      <c r="O34" s="10">
        <v>45517</v>
      </c>
      <c r="P34" s="10">
        <v>45518</v>
      </c>
      <c r="Q34" s="10">
        <v>45519</v>
      </c>
      <c r="R34" s="10">
        <v>45520</v>
      </c>
      <c r="S34" s="10">
        <v>45521</v>
      </c>
      <c r="T34" s="10">
        <v>45522</v>
      </c>
      <c r="U34" s="10">
        <v>45523</v>
      </c>
      <c r="V34" s="10">
        <v>45524</v>
      </c>
      <c r="W34" s="10">
        <v>45525</v>
      </c>
      <c r="X34" s="10">
        <v>45526</v>
      </c>
      <c r="Y34" s="10">
        <v>45527</v>
      </c>
      <c r="Z34" s="10">
        <v>45528</v>
      </c>
      <c r="AA34" s="10">
        <v>45529</v>
      </c>
      <c r="AB34" s="10">
        <v>45530</v>
      </c>
      <c r="AC34" s="10">
        <v>45531</v>
      </c>
      <c r="AD34" s="10">
        <v>45532</v>
      </c>
      <c r="AE34" s="10">
        <v>45533</v>
      </c>
      <c r="AF34" s="10">
        <v>45534</v>
      </c>
      <c r="AG34" s="10">
        <v>45535</v>
      </c>
      <c r="AH34" s="25" t="s">
        <v>2</v>
      </c>
    </row>
    <row r="35" spans="2:34" ht="15" customHeight="1">
      <c r="B35" s="11" t="s">
        <v>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2690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30">
        <f>SUM(C35:AG35)</f>
        <v>2690</v>
      </c>
    </row>
    <row r="36" spans="2:34" ht="15" customHeight="1">
      <c r="B36" s="11" t="s">
        <v>4</v>
      </c>
      <c r="C36" s="18">
        <f t="shared" ref="C36:AH36" si="6">SUM(C38:C57)</f>
        <v>0</v>
      </c>
      <c r="D36" s="18">
        <f t="shared" si="6"/>
        <v>0</v>
      </c>
      <c r="E36" s="18">
        <f t="shared" si="6"/>
        <v>0</v>
      </c>
      <c r="F36" s="18">
        <f t="shared" si="6"/>
        <v>0</v>
      </c>
      <c r="G36" s="18">
        <f t="shared" si="6"/>
        <v>0</v>
      </c>
      <c r="H36" s="18">
        <f t="shared" si="6"/>
        <v>0</v>
      </c>
      <c r="I36" s="18">
        <f t="shared" si="6"/>
        <v>0</v>
      </c>
      <c r="J36" s="18">
        <f t="shared" si="6"/>
        <v>5</v>
      </c>
      <c r="K36" s="18">
        <f t="shared" si="6"/>
        <v>0</v>
      </c>
      <c r="L36" s="18">
        <f t="shared" si="6"/>
        <v>0</v>
      </c>
      <c r="M36" s="18">
        <f t="shared" si="6"/>
        <v>0</v>
      </c>
      <c r="N36" s="18">
        <f t="shared" si="6"/>
        <v>0</v>
      </c>
      <c r="O36" s="18">
        <f t="shared" si="6"/>
        <v>0</v>
      </c>
      <c r="P36" s="18">
        <f t="shared" si="6"/>
        <v>0</v>
      </c>
      <c r="Q36" s="18">
        <f t="shared" si="6"/>
        <v>0</v>
      </c>
      <c r="R36" s="18">
        <f t="shared" si="6"/>
        <v>0</v>
      </c>
      <c r="S36" s="18">
        <f t="shared" si="6"/>
        <v>0</v>
      </c>
      <c r="T36" s="18">
        <f t="shared" si="6"/>
        <v>0</v>
      </c>
      <c r="U36" s="18">
        <f t="shared" si="6"/>
        <v>0</v>
      </c>
      <c r="V36" s="18">
        <f t="shared" si="6"/>
        <v>0</v>
      </c>
      <c r="W36" s="18">
        <f t="shared" si="6"/>
        <v>0</v>
      </c>
      <c r="X36" s="18">
        <f t="shared" si="6"/>
        <v>0</v>
      </c>
      <c r="Y36" s="18">
        <f t="shared" si="6"/>
        <v>0</v>
      </c>
      <c r="Z36" s="18">
        <f t="shared" si="6"/>
        <v>0</v>
      </c>
      <c r="AA36" s="18">
        <f t="shared" si="6"/>
        <v>0</v>
      </c>
      <c r="AB36" s="18">
        <f t="shared" si="6"/>
        <v>0</v>
      </c>
      <c r="AC36" s="18">
        <f t="shared" si="6"/>
        <v>0</v>
      </c>
      <c r="AD36" s="18">
        <f t="shared" si="6"/>
        <v>0</v>
      </c>
      <c r="AE36" s="18">
        <f t="shared" si="6"/>
        <v>0</v>
      </c>
      <c r="AF36" s="18">
        <f t="shared" si="6"/>
        <v>0</v>
      </c>
      <c r="AG36" s="18">
        <f t="shared" si="6"/>
        <v>0</v>
      </c>
      <c r="AH36" s="12">
        <f t="shared" si="6"/>
        <v>5</v>
      </c>
    </row>
    <row r="37" spans="2:34" s="6" customFormat="1" ht="15" customHeight="1">
      <c r="B37" s="19" t="s">
        <v>5</v>
      </c>
      <c r="C37" s="20">
        <f t="shared" ref="C37:AH37" si="7">IF(C35=0,0,(C36/C35))</f>
        <v>0</v>
      </c>
      <c r="D37" s="20">
        <f t="shared" si="7"/>
        <v>0</v>
      </c>
      <c r="E37" s="20">
        <f t="shared" si="7"/>
        <v>0</v>
      </c>
      <c r="F37" s="20">
        <f t="shared" si="7"/>
        <v>0</v>
      </c>
      <c r="G37" s="20">
        <f t="shared" si="7"/>
        <v>0</v>
      </c>
      <c r="H37" s="20">
        <f t="shared" si="7"/>
        <v>0</v>
      </c>
      <c r="I37" s="20">
        <f t="shared" si="7"/>
        <v>0</v>
      </c>
      <c r="J37" s="20">
        <f t="shared" si="7"/>
        <v>1.8587360594795538E-3</v>
      </c>
      <c r="K37" s="20">
        <f t="shared" si="7"/>
        <v>0</v>
      </c>
      <c r="L37" s="20">
        <f t="shared" si="7"/>
        <v>0</v>
      </c>
      <c r="M37" s="20">
        <f t="shared" si="7"/>
        <v>0</v>
      </c>
      <c r="N37" s="20">
        <f t="shared" si="7"/>
        <v>0</v>
      </c>
      <c r="O37" s="20">
        <f t="shared" si="7"/>
        <v>0</v>
      </c>
      <c r="P37" s="20">
        <f t="shared" si="7"/>
        <v>0</v>
      </c>
      <c r="Q37" s="20">
        <f t="shared" si="7"/>
        <v>0</v>
      </c>
      <c r="R37" s="20">
        <f t="shared" si="7"/>
        <v>0</v>
      </c>
      <c r="S37" s="20">
        <f t="shared" si="7"/>
        <v>0</v>
      </c>
      <c r="T37" s="20">
        <f t="shared" si="7"/>
        <v>0</v>
      </c>
      <c r="U37" s="20">
        <f t="shared" si="7"/>
        <v>0</v>
      </c>
      <c r="V37" s="20">
        <f t="shared" si="7"/>
        <v>0</v>
      </c>
      <c r="W37" s="20">
        <f t="shared" si="7"/>
        <v>0</v>
      </c>
      <c r="X37" s="20">
        <f t="shared" si="7"/>
        <v>0</v>
      </c>
      <c r="Y37" s="20">
        <f t="shared" si="7"/>
        <v>0</v>
      </c>
      <c r="Z37" s="20">
        <f t="shared" si="7"/>
        <v>0</v>
      </c>
      <c r="AA37" s="20">
        <f t="shared" si="7"/>
        <v>0</v>
      </c>
      <c r="AB37" s="20">
        <f t="shared" si="7"/>
        <v>0</v>
      </c>
      <c r="AC37" s="20">
        <f t="shared" si="7"/>
        <v>0</v>
      </c>
      <c r="AD37" s="20">
        <f t="shared" si="7"/>
        <v>0</v>
      </c>
      <c r="AE37" s="20">
        <f t="shared" si="7"/>
        <v>0</v>
      </c>
      <c r="AF37" s="20">
        <f t="shared" si="7"/>
        <v>0</v>
      </c>
      <c r="AG37" s="20">
        <f t="shared" si="7"/>
        <v>0</v>
      </c>
      <c r="AH37" s="14">
        <f t="shared" si="7"/>
        <v>1.8587360594795538E-3</v>
      </c>
    </row>
    <row r="38" spans="2:34" ht="15" customHeight="1">
      <c r="B38" s="9" t="s">
        <v>30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29"/>
      <c r="AE38" s="29"/>
      <c r="AF38" s="12"/>
      <c r="AG38" s="12"/>
      <c r="AH38" s="30">
        <f t="shared" ref="AH38:AH57" si="8">+SUM(C38:AG38)</f>
        <v>4</v>
      </c>
    </row>
    <row r="39" spans="2:34" ht="15" customHeight="1">
      <c r="B39" s="21" t="s">
        <v>31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29"/>
      <c r="AE39" s="29"/>
      <c r="AF39" s="12"/>
      <c r="AG39" s="12"/>
      <c r="AH39" s="30">
        <f t="shared" si="8"/>
        <v>0</v>
      </c>
    </row>
    <row r="40" spans="2:34" ht="15" customHeight="1">
      <c r="B40" s="9" t="s">
        <v>17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30">
        <f t="shared" si="8"/>
        <v>0</v>
      </c>
    </row>
    <row r="41" spans="2:34" ht="15" customHeight="1">
      <c r="B41" s="9" t="s">
        <v>33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29"/>
      <c r="AB41" s="29"/>
      <c r="AC41" s="12"/>
      <c r="AD41" s="12"/>
      <c r="AE41" s="12"/>
      <c r="AF41" s="12"/>
      <c r="AG41" s="12"/>
      <c r="AH41" s="30">
        <f t="shared" si="8"/>
        <v>0</v>
      </c>
    </row>
    <row r="42" spans="2:34" ht="15" customHeight="1">
      <c r="B42" s="9" t="s">
        <v>34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30">
        <f t="shared" si="8"/>
        <v>0</v>
      </c>
    </row>
    <row r="43" spans="2:34" ht="15" customHeight="1">
      <c r="B43" s="11" t="s">
        <v>20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2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30">
        <f t="shared" si="8"/>
        <v>0</v>
      </c>
    </row>
    <row r="44" spans="2:34" ht="15" customHeight="1">
      <c r="B44" s="9" t="s">
        <v>35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30">
        <f t="shared" si="8"/>
        <v>0</v>
      </c>
    </row>
    <row r="45" spans="2:34" ht="15" customHeight="1">
      <c r="B45" s="9" t="s">
        <v>28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1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29"/>
      <c r="AB45" s="29"/>
      <c r="AC45" s="12"/>
      <c r="AD45" s="12"/>
      <c r="AE45" s="12"/>
      <c r="AF45" s="12"/>
      <c r="AG45" s="12"/>
      <c r="AH45" s="30">
        <f t="shared" si="8"/>
        <v>1</v>
      </c>
    </row>
    <row r="46" spans="2:34" ht="15" customHeight="1">
      <c r="B46" s="9" t="s">
        <v>75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30">
        <f t="shared" si="8"/>
        <v>0</v>
      </c>
    </row>
    <row r="47" spans="2:34" ht="15" customHeight="1">
      <c r="B47" s="9" t="s">
        <v>36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30">
        <f t="shared" si="8"/>
        <v>0</v>
      </c>
    </row>
    <row r="48" spans="2:34" ht="15" customHeight="1">
      <c r="B48" s="9" t="s">
        <v>38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30">
        <f t="shared" si="8"/>
        <v>0</v>
      </c>
    </row>
    <row r="49" spans="2:34" ht="15" customHeight="1">
      <c r="B49" s="9" t="s">
        <v>22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30">
        <f t="shared" si="8"/>
        <v>0</v>
      </c>
    </row>
    <row r="50" spans="2:34" ht="15" customHeight="1">
      <c r="B50" s="9" t="s">
        <v>24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30">
        <f t="shared" si="8"/>
        <v>0</v>
      </c>
    </row>
    <row r="51" spans="2:34" ht="15" customHeight="1">
      <c r="B51" s="9" t="s">
        <v>45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30">
        <f t="shared" si="8"/>
        <v>0</v>
      </c>
    </row>
    <row r="52" spans="2:34" ht="15" customHeight="1">
      <c r="B52" s="9" t="s">
        <v>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30">
        <f t="shared" si="8"/>
        <v>0</v>
      </c>
    </row>
    <row r="53" spans="2:34" ht="15" customHeight="1">
      <c r="B53" s="9" t="s">
        <v>19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30">
        <f t="shared" si="8"/>
        <v>0</v>
      </c>
    </row>
    <row r="54" spans="2:34" ht="15" customHeight="1">
      <c r="B54" s="9" t="s">
        <v>26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30">
        <f t="shared" si="8"/>
        <v>0</v>
      </c>
    </row>
    <row r="55" spans="2:34" ht="15" customHeight="1">
      <c r="B55" s="21" t="s">
        <v>23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30">
        <f t="shared" si="8"/>
        <v>0</v>
      </c>
    </row>
    <row r="56" spans="2:34" ht="15" customHeight="1">
      <c r="B56" s="9" t="s">
        <v>27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30">
        <f t="shared" si="8"/>
        <v>0</v>
      </c>
    </row>
    <row r="57" spans="2:34" ht="15" customHeight="1">
      <c r="B57" s="9" t="s">
        <v>16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29"/>
      <c r="AB57" s="29"/>
      <c r="AC57" s="12"/>
      <c r="AD57" s="29"/>
      <c r="AE57" s="29"/>
      <c r="AF57" s="12"/>
      <c r="AG57" s="12"/>
      <c r="AH57" s="30">
        <f t="shared" si="8"/>
        <v>0</v>
      </c>
    </row>
    <row r="58" spans="2:34" ht="15" customHeight="1">
      <c r="B58" s="22"/>
      <c r="C58" s="23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4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60" spans="2:34" ht="15" customHeight="1">
      <c r="B60" s="49" t="s">
        <v>76</v>
      </c>
      <c r="C60" s="49"/>
      <c r="D60" s="49"/>
    </row>
    <row r="61" spans="2:34" ht="10">
      <c r="B61" s="9" t="s">
        <v>1</v>
      </c>
      <c r="C61" s="10">
        <v>45505</v>
      </c>
      <c r="D61" s="10">
        <v>45506</v>
      </c>
      <c r="E61" s="10">
        <v>45507</v>
      </c>
      <c r="F61" s="10">
        <v>45508</v>
      </c>
      <c r="G61" s="10">
        <v>45509</v>
      </c>
      <c r="H61" s="10">
        <v>45510</v>
      </c>
      <c r="I61" s="10">
        <v>45511</v>
      </c>
      <c r="J61" s="10">
        <v>45512</v>
      </c>
      <c r="K61" s="10">
        <v>45513</v>
      </c>
      <c r="L61" s="10">
        <v>45514</v>
      </c>
      <c r="M61" s="10">
        <v>45515</v>
      </c>
      <c r="N61" s="10">
        <v>45516</v>
      </c>
      <c r="O61" s="10">
        <v>45517</v>
      </c>
      <c r="P61" s="10">
        <v>45518</v>
      </c>
      <c r="Q61" s="10">
        <v>45519</v>
      </c>
      <c r="R61" s="10">
        <v>45520</v>
      </c>
      <c r="S61" s="10">
        <v>45521</v>
      </c>
      <c r="T61" s="10">
        <v>45522</v>
      </c>
      <c r="U61" s="10">
        <v>45523</v>
      </c>
      <c r="V61" s="10">
        <v>45524</v>
      </c>
      <c r="W61" s="10">
        <v>45525</v>
      </c>
      <c r="X61" s="10">
        <v>45526</v>
      </c>
      <c r="Y61" s="10">
        <v>45527</v>
      </c>
      <c r="Z61" s="10">
        <v>45528</v>
      </c>
      <c r="AA61" s="10">
        <v>45529</v>
      </c>
      <c r="AB61" s="10">
        <v>45530</v>
      </c>
      <c r="AC61" s="10">
        <v>45531</v>
      </c>
      <c r="AD61" s="10">
        <v>45532</v>
      </c>
      <c r="AE61" s="10">
        <v>45533</v>
      </c>
      <c r="AF61" s="10">
        <v>45534</v>
      </c>
      <c r="AG61" s="10">
        <v>45535</v>
      </c>
      <c r="AH61" s="25" t="s">
        <v>2</v>
      </c>
    </row>
    <row r="62" spans="2:34" ht="15" customHeight="1">
      <c r="B62" s="11" t="s">
        <v>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36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30">
        <f>SUM(C62:AG62)</f>
        <v>36</v>
      </c>
    </row>
    <row r="63" spans="2:34" ht="15" customHeight="1">
      <c r="B63" s="11" t="s">
        <v>4</v>
      </c>
      <c r="C63" s="12">
        <f t="shared" ref="C63:AG63" si="9">+SUM(C65:C81)</f>
        <v>0</v>
      </c>
      <c r="D63" s="12">
        <f t="shared" si="9"/>
        <v>0</v>
      </c>
      <c r="E63" s="12">
        <f t="shared" si="9"/>
        <v>0</v>
      </c>
      <c r="F63" s="12">
        <f t="shared" si="9"/>
        <v>0</v>
      </c>
      <c r="G63" s="12">
        <f t="shared" si="9"/>
        <v>0</v>
      </c>
      <c r="H63" s="12">
        <f t="shared" si="9"/>
        <v>0</v>
      </c>
      <c r="I63" s="12">
        <f t="shared" si="9"/>
        <v>0</v>
      </c>
      <c r="J63" s="12">
        <f t="shared" si="9"/>
        <v>0</v>
      </c>
      <c r="K63" s="12">
        <f t="shared" si="9"/>
        <v>0</v>
      </c>
      <c r="L63" s="12">
        <f t="shared" si="9"/>
        <v>0</v>
      </c>
      <c r="M63" s="12">
        <f t="shared" si="9"/>
        <v>0</v>
      </c>
      <c r="N63" s="12">
        <f t="shared" si="9"/>
        <v>0</v>
      </c>
      <c r="O63" s="12">
        <f t="shared" si="9"/>
        <v>0</v>
      </c>
      <c r="P63" s="12">
        <f t="shared" si="9"/>
        <v>0</v>
      </c>
      <c r="Q63" s="12">
        <f t="shared" si="9"/>
        <v>0</v>
      </c>
      <c r="R63" s="12">
        <f t="shared" si="9"/>
        <v>0</v>
      </c>
      <c r="S63" s="12">
        <f t="shared" si="9"/>
        <v>0</v>
      </c>
      <c r="T63" s="12">
        <f t="shared" si="9"/>
        <v>0</v>
      </c>
      <c r="U63" s="12">
        <f t="shared" si="9"/>
        <v>0</v>
      </c>
      <c r="V63" s="12">
        <f t="shared" si="9"/>
        <v>0</v>
      </c>
      <c r="W63" s="12">
        <f t="shared" si="9"/>
        <v>0</v>
      </c>
      <c r="X63" s="12">
        <f t="shared" si="9"/>
        <v>0</v>
      </c>
      <c r="Y63" s="12">
        <f t="shared" si="9"/>
        <v>0</v>
      </c>
      <c r="Z63" s="12">
        <f t="shared" si="9"/>
        <v>0</v>
      </c>
      <c r="AA63" s="12">
        <f t="shared" si="9"/>
        <v>0</v>
      </c>
      <c r="AB63" s="12">
        <f t="shared" si="9"/>
        <v>0</v>
      </c>
      <c r="AC63" s="12">
        <f t="shared" si="9"/>
        <v>0</v>
      </c>
      <c r="AD63" s="12">
        <f t="shared" si="9"/>
        <v>0</v>
      </c>
      <c r="AE63" s="12">
        <f t="shared" si="9"/>
        <v>0</v>
      </c>
      <c r="AF63" s="12">
        <f t="shared" si="9"/>
        <v>0</v>
      </c>
      <c r="AG63" s="12">
        <f t="shared" si="9"/>
        <v>0</v>
      </c>
      <c r="AH63" s="30">
        <f>SUM(AH65:AH81)</f>
        <v>0</v>
      </c>
    </row>
    <row r="64" spans="2:34" s="6" customFormat="1" ht="15" customHeight="1">
      <c r="B64" s="19" t="s">
        <v>47</v>
      </c>
      <c r="C64" s="20">
        <f t="shared" ref="C64:AH64" si="10">IF(C62=0,0,(C63/C62))</f>
        <v>0</v>
      </c>
      <c r="D64" s="20">
        <f t="shared" si="10"/>
        <v>0</v>
      </c>
      <c r="E64" s="20">
        <f t="shared" si="10"/>
        <v>0</v>
      </c>
      <c r="F64" s="20">
        <f t="shared" si="10"/>
        <v>0</v>
      </c>
      <c r="G64" s="20">
        <f t="shared" si="10"/>
        <v>0</v>
      </c>
      <c r="H64" s="20">
        <f t="shared" si="10"/>
        <v>0</v>
      </c>
      <c r="I64" s="20">
        <f t="shared" si="10"/>
        <v>0</v>
      </c>
      <c r="J64" s="20">
        <f t="shared" si="10"/>
        <v>0</v>
      </c>
      <c r="K64" s="20">
        <f t="shared" si="10"/>
        <v>0</v>
      </c>
      <c r="L64" s="20">
        <f t="shared" si="10"/>
        <v>0</v>
      </c>
      <c r="M64" s="20">
        <f t="shared" si="10"/>
        <v>0</v>
      </c>
      <c r="N64" s="20">
        <f t="shared" si="10"/>
        <v>0</v>
      </c>
      <c r="O64" s="20">
        <f t="shared" si="10"/>
        <v>0</v>
      </c>
      <c r="P64" s="20">
        <f t="shared" si="10"/>
        <v>0</v>
      </c>
      <c r="Q64" s="20">
        <f t="shared" si="10"/>
        <v>0</v>
      </c>
      <c r="R64" s="20">
        <f t="shared" si="10"/>
        <v>0</v>
      </c>
      <c r="S64" s="20">
        <f t="shared" si="10"/>
        <v>0</v>
      </c>
      <c r="T64" s="20">
        <f t="shared" si="10"/>
        <v>0</v>
      </c>
      <c r="U64" s="20">
        <f t="shared" si="10"/>
        <v>0</v>
      </c>
      <c r="V64" s="20">
        <f t="shared" si="10"/>
        <v>0</v>
      </c>
      <c r="W64" s="20">
        <f t="shared" si="10"/>
        <v>0</v>
      </c>
      <c r="X64" s="20">
        <f t="shared" si="10"/>
        <v>0</v>
      </c>
      <c r="Y64" s="20">
        <f t="shared" si="10"/>
        <v>0</v>
      </c>
      <c r="Z64" s="20">
        <f t="shared" si="10"/>
        <v>0</v>
      </c>
      <c r="AA64" s="20">
        <f t="shared" si="10"/>
        <v>0</v>
      </c>
      <c r="AB64" s="20">
        <f t="shared" si="10"/>
        <v>0</v>
      </c>
      <c r="AC64" s="20">
        <f t="shared" si="10"/>
        <v>0</v>
      </c>
      <c r="AD64" s="20">
        <f t="shared" si="10"/>
        <v>0</v>
      </c>
      <c r="AE64" s="20">
        <f t="shared" si="10"/>
        <v>0</v>
      </c>
      <c r="AF64" s="20">
        <f t="shared" si="10"/>
        <v>0</v>
      </c>
      <c r="AG64" s="20">
        <f t="shared" si="10"/>
        <v>0</v>
      </c>
      <c r="AH64" s="20">
        <f t="shared" si="10"/>
        <v>0</v>
      </c>
    </row>
    <row r="65" spans="2:34" ht="15" customHeight="1">
      <c r="B65" s="21" t="s">
        <v>30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/>
      <c r="L65" s="12"/>
      <c r="M65" s="12"/>
      <c r="N65" s="12"/>
      <c r="O65" s="12"/>
      <c r="P65" s="3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30">
        <f t="shared" ref="AH65:AH81" si="11">+SUM(C65:AG65)</f>
        <v>0</v>
      </c>
    </row>
    <row r="66" spans="2:34" ht="15" customHeight="1">
      <c r="B66" s="21" t="s">
        <v>17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/>
      <c r="L66" s="12"/>
      <c r="M66" s="12"/>
      <c r="N66" s="12"/>
      <c r="O66" s="12"/>
      <c r="P66" s="3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30">
        <f t="shared" si="11"/>
        <v>0</v>
      </c>
    </row>
    <row r="67" spans="2:34" ht="15" customHeight="1">
      <c r="B67" s="21" t="s">
        <v>8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30">
        <f t="shared" si="11"/>
        <v>0</v>
      </c>
    </row>
    <row r="68" spans="2:34" ht="15" customHeight="1">
      <c r="B68" s="21" t="s">
        <v>28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30">
        <f t="shared" si="11"/>
        <v>0</v>
      </c>
    </row>
    <row r="69" spans="2:34" ht="15" customHeight="1">
      <c r="B69" s="21" t="s">
        <v>71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30">
        <f t="shared" si="11"/>
        <v>0</v>
      </c>
    </row>
    <row r="70" spans="2:34" ht="15" customHeight="1">
      <c r="B70" s="21" t="s">
        <v>16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30">
        <f t="shared" si="11"/>
        <v>0</v>
      </c>
    </row>
    <row r="71" spans="2:34" ht="15" customHeight="1">
      <c r="B71" s="21" t="s">
        <v>56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30">
        <f t="shared" si="11"/>
        <v>0</v>
      </c>
    </row>
    <row r="72" spans="2:34" ht="15" customHeight="1">
      <c r="B72" s="21" t="s">
        <v>19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30">
        <f t="shared" si="11"/>
        <v>0</v>
      </c>
    </row>
    <row r="73" spans="2:34" ht="15" customHeight="1">
      <c r="B73" s="21" t="s">
        <v>42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30">
        <f t="shared" si="11"/>
        <v>0</v>
      </c>
    </row>
    <row r="74" spans="2:34" ht="15" customHeight="1">
      <c r="B74" s="21" t="s">
        <v>27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30">
        <f t="shared" si="11"/>
        <v>0</v>
      </c>
    </row>
    <row r="75" spans="2:34" ht="15" customHeight="1">
      <c r="B75" s="21" t="s">
        <v>12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30">
        <f t="shared" si="11"/>
        <v>0</v>
      </c>
    </row>
    <row r="76" spans="2:34" ht="15" customHeight="1">
      <c r="B76" s="21" t="s">
        <v>9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30">
        <f t="shared" si="11"/>
        <v>0</v>
      </c>
    </row>
    <row r="77" spans="2:34" ht="15" customHeight="1">
      <c r="B77" s="21" t="s">
        <v>61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30">
        <f t="shared" si="11"/>
        <v>0</v>
      </c>
    </row>
    <row r="78" spans="2:34" ht="15" customHeight="1">
      <c r="B78" s="21" t="s">
        <v>24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30">
        <f t="shared" si="11"/>
        <v>0</v>
      </c>
    </row>
    <row r="79" spans="2:34" ht="15" customHeight="1">
      <c r="B79" s="21" t="s">
        <v>26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30">
        <f t="shared" si="11"/>
        <v>0</v>
      </c>
    </row>
    <row r="80" spans="2:34" ht="15" customHeight="1">
      <c r="B80" s="21" t="s">
        <v>22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30">
        <f t="shared" si="11"/>
        <v>0</v>
      </c>
    </row>
    <row r="81" spans="2:34" ht="15" customHeight="1">
      <c r="B81" s="21" t="s">
        <v>45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30">
        <f t="shared" si="11"/>
        <v>0</v>
      </c>
    </row>
    <row r="82" spans="2:34" ht="15" customHeight="1">
      <c r="B82" s="1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</row>
    <row r="99" spans="3:22" ht="15" customHeight="1">
      <c r="C99" s="7"/>
      <c r="D99" s="7"/>
      <c r="E99" s="7"/>
      <c r="F99" s="7"/>
      <c r="G99" s="7"/>
      <c r="H99" s="7"/>
      <c r="I99" s="7"/>
      <c r="J99" s="7"/>
      <c r="K99" s="7"/>
      <c r="T99" s="33"/>
      <c r="V99" s="7"/>
    </row>
    <row r="100" spans="3:22" ht="15" customHeight="1">
      <c r="C100" s="7"/>
      <c r="D100" s="7"/>
      <c r="E100" s="7"/>
      <c r="F100" s="7"/>
      <c r="G100" s="7"/>
      <c r="H100" s="7"/>
      <c r="I100" s="7"/>
      <c r="J100" s="7"/>
      <c r="K100" s="7"/>
      <c r="T100" s="33"/>
      <c r="V100" s="7"/>
    </row>
    <row r="107" spans="3:22" ht="15" customHeight="1">
      <c r="C107" s="7"/>
      <c r="D107" s="7"/>
      <c r="E107" s="7"/>
      <c r="F107" s="7"/>
      <c r="G107" s="7"/>
      <c r="H107" s="7"/>
      <c r="I107" s="7"/>
      <c r="J107" s="7"/>
      <c r="K107" s="7"/>
      <c r="L107" s="32"/>
      <c r="V107" s="7"/>
    </row>
  </sheetData>
  <mergeCells count="4">
    <mergeCell ref="B2:D2"/>
    <mergeCell ref="B16:D16"/>
    <mergeCell ref="B33:D33"/>
    <mergeCell ref="B60:D60"/>
  </mergeCells>
  <conditionalFormatting sqref="A65:A81">
    <cfRule type="duplicateValues" dxfId="1" priority="60"/>
  </conditionalFormatting>
  <conditionalFormatting sqref="C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 AH3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D64 AH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 AE6:AH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:AH6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:AH2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AD20:AH20 Z2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X37 Z37 AD37:AH3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X37 Z37:AH3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H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H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AH3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AH6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 AE6:AG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X37 Z37 AD37:AG3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AA64 AD64:AH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X20 AD20:AG20 D20 Z2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4:AA64 D64 AD64:AG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C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7:AC3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D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4:AC6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4:AH64 C64:AA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 C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7:AH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 C20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:AH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7:AH58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:AH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:AH58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0" priority="58"/>
  </conditionalFormatting>
  <conditionalFormatting sqref="AH64:AH81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5:AH8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8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2:D28"/>
  <sheetViews>
    <sheetView topLeftCell="A34" workbookViewId="0">
      <selection activeCell="E23" sqref="E23"/>
    </sheetView>
  </sheetViews>
  <sheetFormatPr defaultColWidth="9" defaultRowHeight="14.5"/>
  <cols>
    <col min="2" max="2" width="15.6328125" customWidth="1"/>
    <col min="3" max="3" width="25.6328125" customWidth="1"/>
    <col min="4" max="4" width="35.6328125" customWidth="1"/>
  </cols>
  <sheetData>
    <row r="22" spans="2:4" s="1" customFormat="1" ht="28" customHeight="1">
      <c r="B22" s="2" t="s">
        <v>77</v>
      </c>
      <c r="C22" s="2" t="s">
        <v>78</v>
      </c>
      <c r="D22" s="2" t="s">
        <v>79</v>
      </c>
    </row>
    <row r="23" spans="2:4" s="1" customFormat="1" ht="80.150000000000006" customHeight="1">
      <c r="B23" s="3" t="s">
        <v>12</v>
      </c>
      <c r="C23" s="4" t="s">
        <v>80</v>
      </c>
      <c r="D23" s="5"/>
    </row>
    <row r="24" spans="2:4" s="1" customFormat="1" ht="28" customHeight="1">
      <c r="B24" s="3" t="s">
        <v>34</v>
      </c>
      <c r="C24" s="5" t="s">
        <v>81</v>
      </c>
      <c r="D24" s="5"/>
    </row>
    <row r="25" spans="2:4" s="1" customFormat="1" ht="28" customHeight="1">
      <c r="B25" s="3" t="s">
        <v>22</v>
      </c>
      <c r="C25" s="5" t="s">
        <v>82</v>
      </c>
      <c r="D25" s="5"/>
    </row>
    <row r="26" spans="2:4" s="1" customFormat="1" ht="39">
      <c r="B26" s="3" t="s">
        <v>30</v>
      </c>
      <c r="C26" s="5" t="s">
        <v>83</v>
      </c>
      <c r="D26" s="5"/>
    </row>
    <row r="27" spans="2:4" s="1" customFormat="1" ht="28" customHeight="1">
      <c r="B27" s="3" t="s">
        <v>6</v>
      </c>
      <c r="C27" s="5" t="s">
        <v>84</v>
      </c>
      <c r="D27" s="5"/>
    </row>
    <row r="28" spans="2:4" s="1" customFormat="1" ht="39">
      <c r="B28" s="3" t="s">
        <v>9</v>
      </c>
      <c r="C28" s="5" t="s">
        <v>85</v>
      </c>
      <c r="D28" s="5"/>
    </row>
  </sheetData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shapeId="5121" r:id="rId3">
          <objectPr defaultSize="0" altText="" r:id="rId4">
            <anchor moveWithCells="1">
              <from>
                <xdr:col>3</xdr:col>
                <xdr:colOff>2279650</xdr:colOff>
                <xdr:row>1</xdr:row>
                <xdr:rowOff>0</xdr:rowOff>
              </from>
              <to>
                <xdr:col>12</xdr:col>
                <xdr:colOff>501650</xdr:colOff>
                <xdr:row>20</xdr:row>
                <xdr:rowOff>38100</xdr:rowOff>
              </to>
            </anchor>
          </objectPr>
        </oleObject>
      </mc:Choice>
      <mc:Fallback>
        <oleObject shapeId="5121" r:id="rId3"/>
      </mc:Fallback>
    </mc:AlternateContent>
    <mc:AlternateContent xmlns:mc="http://schemas.openxmlformats.org/markup-compatibility/2006">
      <mc:Choice Requires="x14">
        <oleObject shapeId="5122" r:id="rId5">
          <objectPr defaultSize="0" altText="" r:id="rId6">
            <anchor moveWithCells="1">
              <from>
                <xdr:col>0</xdr:col>
                <xdr:colOff>101600</xdr:colOff>
                <xdr:row>1</xdr:row>
                <xdr:rowOff>0</xdr:rowOff>
              </from>
              <to>
                <xdr:col>3</xdr:col>
                <xdr:colOff>2209800</xdr:colOff>
                <xdr:row>20</xdr:row>
                <xdr:rowOff>38100</xdr:rowOff>
              </to>
            </anchor>
          </objectPr>
        </oleObject>
      </mc:Choice>
      <mc:Fallback>
        <oleObject shapeId="5122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Trend.</vt:lpstr>
      <vt:lpstr>Line - 1</vt:lpstr>
      <vt:lpstr>Line - 2</vt:lpstr>
      <vt:lpstr>MTA Export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 Report</dc:creator>
  <cp:keywords/>
  <dc:description/>
  <cp:lastModifiedBy>Himesh Bhattacharjee</cp:lastModifiedBy>
  <cp:revision/>
  <dcterms:created xsi:type="dcterms:W3CDTF">2015-06-05T18:17:00Z</dcterms:created>
  <dcterms:modified xsi:type="dcterms:W3CDTF">2025-09-29T20:26:22Z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ICV">
    <vt:lpwstr>493C4262193B496B9D890726B08426D9</vt:lpwstr>
  </property>
</Properties>
</file>